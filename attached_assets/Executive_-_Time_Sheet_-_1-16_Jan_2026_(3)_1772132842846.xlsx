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Work Hours Summary" sheetId="1" state="visible" r:id="rId1"/>
    <sheet xmlns:r="http://schemas.openxmlformats.org/officeDocument/2006/relationships" name="upload" sheetId="2" state="visible" r:id="rId2"/>
    <sheet xmlns:r="http://schemas.openxmlformats.org/officeDocument/2006/relationships" name="Payroll Summary" sheetId="3" state="visible" r:id="rId3"/>
    <sheet xmlns:r="http://schemas.openxmlformats.org/officeDocument/2006/relationships" name="TEMPLATE" sheetId="4" state="visible" r:id="rId4"/>
    <sheet xmlns:r="http://schemas.openxmlformats.org/officeDocument/2006/relationships" name="Daniels, John Llewellyn" sheetId="5" state="visible" r:id="rId5"/>
    <sheet xmlns:r="http://schemas.openxmlformats.org/officeDocument/2006/relationships" name="Ridley, Theresa" sheetId="6" state="visible" r:id="rId6"/>
    <sheet xmlns:r="http://schemas.openxmlformats.org/officeDocument/2006/relationships" name="Browne, Francianna Milissa" sheetId="7" state="visible" r:id="rId7"/>
    <sheet xmlns:r="http://schemas.openxmlformats.org/officeDocument/2006/relationships" name="Henry, Colin Vincent" sheetId="8" state="visible" r:id="rId8"/>
    <sheet xmlns:r="http://schemas.openxmlformats.org/officeDocument/2006/relationships" name="Dorsett, Susan Patricia" sheetId="9" state="visible" r:id="rId9"/>
    <sheet xmlns:r="http://schemas.openxmlformats.org/officeDocument/2006/relationships" name="Pearson, Roslyn Andrea" sheetId="10" state="visible" r:id="rId10"/>
    <sheet xmlns:r="http://schemas.openxmlformats.org/officeDocument/2006/relationships" name="Barnes, Mauva" sheetId="11" state="visible" r:id="rId11"/>
    <sheet xmlns:r="http://schemas.openxmlformats.org/officeDocument/2006/relationships" name="Proffitt, Clive Rodericks" sheetId="12" state="visible" r:id="rId12"/>
    <sheet xmlns:r="http://schemas.openxmlformats.org/officeDocument/2006/relationships" name="Spencer, Shemar Ethy" sheetId="13" state="visible" r:id="rId13"/>
    <sheet xmlns:r="http://schemas.openxmlformats.org/officeDocument/2006/relationships" name="Whinfield, Merlyn Beatrice" sheetId="14" state="visible" r:id="rId14"/>
    <sheet xmlns:r="http://schemas.openxmlformats.org/officeDocument/2006/relationships" name="David, Jewelle Phillipa" sheetId="15" state="visible" r:id="rId15"/>
    <sheet xmlns:r="http://schemas.openxmlformats.org/officeDocument/2006/relationships" name="_Locations" sheetId="16" state="hidden" r:id="rId16"/>
  </sheets>
  <definedNames>
    <definedName name="valuevx">42.314159</definedName>
    <definedName name="vertex42_copyright" hidden="1">"© 2010-2017 Vertex42 LLC"</definedName>
    <definedName name="vertex42_id" hidden="1">"timesheet-with-breaks.xlsx"</definedName>
    <definedName name="vertex42_title" hidden="1">"Employee Time Sheet with Breaks"</definedName>
    <definedName name="LocationList">'_Locations'!$A$1:$A$37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"/>
    <numFmt numFmtId="165" formatCode="[$-409]h:mm\ AM/PM;@"/>
    <numFmt numFmtId="166" formatCode="ddd\ m/d"/>
    <numFmt numFmtId="167" formatCode="_(* #,##0.00_);_(* \(#,##0.00\);;_(@_)"/>
    <numFmt numFmtId="168" formatCode="mmmm\ yyyy"/>
    <numFmt numFmtId="169" formatCode="_-* #,##0.00_-;\-* #,##0.00_-;_-* &quot;-&quot;??_-;_-@_-"/>
  </numFmts>
  <fonts count="40">
    <font>
      <name val="Trebuchet MS"/>
      <family val="2"/>
      <sz val="10"/>
    </font>
    <font>
      <name val="Verdana"/>
      <family val="2"/>
      <sz val="10"/>
    </font>
    <font>
      <name val="Arial"/>
      <family val="2"/>
      <color indexed="12"/>
      <sz val="10"/>
      <u val="single"/>
    </font>
    <font>
      <name val="Tahoma"/>
      <family val="2"/>
      <sz val="10"/>
    </font>
    <font>
      <name val="Trebuchet MS"/>
      <family val="2"/>
      <sz val="10"/>
    </font>
    <font>
      <name val="Trebuchet MS"/>
      <family val="2"/>
      <b val="1"/>
      <sz val="10"/>
    </font>
    <font>
      <name val="Trebuchet MS"/>
      <family val="2"/>
      <sz val="8"/>
    </font>
    <font>
      <name val="Trebuchet MS"/>
      <family val="2"/>
      <b val="1"/>
      <color indexed="9"/>
      <sz val="12"/>
    </font>
    <font>
      <name val="Trebuchet MS"/>
      <family val="2"/>
      <color indexed="22"/>
      <sz val="10"/>
    </font>
    <font>
      <name val="Arial"/>
      <family val="2"/>
      <sz val="10"/>
    </font>
    <font>
      <name val="Trebuchet MS"/>
      <family val="2"/>
      <color indexed="12"/>
      <sz val="8"/>
      <u val="single"/>
      <scheme val="minor"/>
    </font>
    <font>
      <name val="Trebuchet MS"/>
      <family val="2"/>
      <sz val="10"/>
      <scheme val="minor"/>
    </font>
    <font>
      <name val="Trebuchet MS"/>
      <family val="2"/>
      <color indexed="55"/>
      <sz val="8"/>
      <scheme val="minor"/>
    </font>
    <font>
      <name val="Trebuchet MS"/>
      <family val="2"/>
      <b val="1"/>
      <sz val="16"/>
      <scheme val="minor"/>
    </font>
    <font>
      <name val="Trebuchet MS"/>
      <family val="2"/>
      <b val="1"/>
      <sz val="10"/>
      <scheme val="minor"/>
    </font>
    <font>
      <name val="Trebuchet MS"/>
      <family val="2"/>
      <color indexed="9"/>
      <sz val="10"/>
      <scheme val="minor"/>
    </font>
    <font>
      <name val="Trebuchet MS"/>
      <family val="2"/>
      <sz val="9"/>
      <scheme val="minor"/>
    </font>
    <font>
      <name val="Trebuchet MS"/>
      <family val="2"/>
      <b val="1"/>
      <sz val="12"/>
      <scheme val="minor"/>
    </font>
    <font>
      <name val="Trebuchet MS"/>
      <family val="2"/>
      <color indexed="9"/>
      <sz val="6"/>
      <scheme val="minor"/>
    </font>
    <font>
      <name val="Trebuchet MS"/>
      <family val="2"/>
      <b val="1"/>
      <color theme="4" tint="-0.249977111117893"/>
      <sz val="18"/>
      <scheme val="major"/>
    </font>
    <font>
      <name val="Trebuchet MS"/>
      <family val="2"/>
      <sz val="10"/>
      <scheme val="major"/>
    </font>
    <font>
      <name val="Trebuchet MS"/>
      <family val="2"/>
      <b val="1"/>
      <sz val="10"/>
      <scheme val="major"/>
    </font>
    <font>
      <name val="&quot;Trebuchet MS&quot;"/>
      <color theme="1"/>
      <sz val="10"/>
    </font>
    <font>
      <name val="&quot;Trebuchet MS&quot;"/>
      <sz val="10"/>
    </font>
    <font>
      <name val="Trebuchet MS"/>
      <b val="1"/>
      <sz val="10"/>
    </font>
    <font>
      <name val="Trebuchet MS"/>
      <b val="1"/>
      <sz val="14"/>
    </font>
    <font>
      <name val="Trebuchet MS"/>
      <b val="1"/>
      <sz val="12"/>
    </font>
    <font>
      <name val="Trebuchet MS"/>
      <family val="2"/>
      <color theme="1"/>
      <sz val="11"/>
      <scheme val="minor"/>
    </font>
    <font>
      <name val="Trebuchet MS"/>
      <b val="1"/>
      <sz val="10"/>
    </font>
    <font>
      <name val="Trebuchet MS"/>
      <b val="1"/>
      <color rgb="FF0000FF"/>
      <sz val="10"/>
    </font>
    <font>
      <name val="Trebuchet MS"/>
      <b val="1"/>
      <color rgb="FFCC0000"/>
      <sz val="12"/>
    </font>
    <font>
      <name val="Trebuchet MS"/>
      <b val="1"/>
      <sz val="11"/>
    </font>
    <font>
      <name val="Trebuchet MS"/>
      <b val="1"/>
      <sz val="12"/>
    </font>
    <font>
      <name val="Trebuchet MS"/>
      <b val="1"/>
      <color rgb="FFFF0000"/>
      <sz val="10"/>
    </font>
    <font>
      <name val="Trebuchet MS"/>
      <b val="1"/>
      <sz val="14"/>
    </font>
    <font>
      <name val="Trebuchet MS"/>
      <i val="1"/>
      <sz val="10"/>
    </font>
    <font>
      <name val="Trebuchet MS"/>
      <b val="1"/>
      <color rgb="FFFFFFFF"/>
      <sz val="11"/>
    </font>
    <font>
      <name val="Trebuchet MS"/>
      <b val="1"/>
      <color rgb="FFCC0000"/>
      <sz val="10"/>
    </font>
    <font>
      <name val="Trebuchet MS"/>
      <color rgb="FF006600"/>
      <sz val="10"/>
    </font>
    <font>
      <name val="Trebuchet MS"/>
      <b val="1"/>
      <color rgb="FFFF6600"/>
      <sz val="10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EFEFEF"/>
      </patternFill>
    </fill>
    <fill>
      <patternFill patternType="solid">
        <fgColor rgb="FF1F4E79"/>
        <bgColor rgb="FF1F4E79"/>
      </patternFill>
    </fill>
  </fills>
  <borders count="60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4" fillId="0" borderId="0"/>
    <xf numFmtId="43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  <xf numFmtId="0" fontId="9" fillId="0" borderId="0"/>
    <xf numFmtId="0" fontId="9" fillId="0" borderId="0"/>
  </cellStyleXfs>
  <cellXfs count="368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164" fontId="4" fillId="0" borderId="1" applyAlignment="1" pivotButton="0" quotePrefix="0" xfId="0">
      <alignment horizontal="center"/>
    </xf>
    <xf numFmtId="0" fontId="8" fillId="0" borderId="0" applyProtection="1" pivotButton="0" quotePrefix="0" xfId="0"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11" fillId="0" borderId="0" pivotButton="0" quotePrefix="0" xfId="0"/>
    <xf numFmtId="165" fontId="11" fillId="5" borderId="5" applyAlignment="1" applyProtection="1" pivotButton="0" quotePrefix="0" xfId="5">
      <alignment horizontal="center" vertical="center"/>
      <protection locked="0" hidden="0"/>
    </xf>
    <xf numFmtId="2" fontId="11" fillId="5" borderId="5" applyAlignment="1" pivotButton="0" quotePrefix="0" xfId="0">
      <alignment horizontal="center" vertical="center"/>
    </xf>
    <xf numFmtId="165" fontId="11" fillId="6" borderId="11" applyAlignment="1" applyProtection="1" pivotButton="0" quotePrefix="0" xfId="5">
      <alignment horizontal="center" vertical="center"/>
      <protection locked="0" hidden="0"/>
    </xf>
    <xf numFmtId="2" fontId="11" fillId="6" borderId="11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left"/>
      <protection locked="0" hidden="0"/>
    </xf>
    <xf numFmtId="0" fontId="11" fillId="0" borderId="0" applyProtection="1" pivotButton="0" quotePrefix="0" xfId="0">
      <protection locked="0" hidden="0"/>
    </xf>
    <xf numFmtId="0" fontId="11" fillId="9" borderId="15" applyProtection="1" pivotButton="0" quotePrefix="0" xfId="0">
      <protection locked="0" hidden="0"/>
    </xf>
    <xf numFmtId="165" fontId="11" fillId="5" borderId="10" applyAlignment="1" applyProtection="1" pivotButton="0" quotePrefix="0" xfId="5">
      <alignment horizontal="center" vertical="center"/>
      <protection locked="0" hidden="0"/>
    </xf>
    <xf numFmtId="2" fontId="11" fillId="5" borderId="10" applyAlignment="1" pivotButton="0" quotePrefix="0" xfId="0">
      <alignment horizontal="center" vertical="center"/>
    </xf>
    <xf numFmtId="2" fontId="11" fillId="5" borderId="10" applyAlignment="1" applyProtection="1" pivotButton="0" quotePrefix="0" xfId="0">
      <alignment horizontal="center" vertical="center"/>
      <protection locked="0" hidden="0"/>
    </xf>
    <xf numFmtId="165" fontId="11" fillId="5" borderId="11" applyAlignment="1" applyProtection="1" pivotButton="0" quotePrefix="0" xfId="5">
      <alignment horizontal="center" vertical="center"/>
      <protection locked="0" hidden="0"/>
    </xf>
    <xf numFmtId="2" fontId="11" fillId="5" borderId="11" applyAlignment="1" pivotButton="0" quotePrefix="0" xfId="0">
      <alignment horizontal="center" vertical="center"/>
    </xf>
    <xf numFmtId="2" fontId="11" fillId="5" borderId="11" applyAlignment="1" applyProtection="1" pivotButton="0" quotePrefix="0" xfId="0">
      <alignment horizontal="center" vertical="center"/>
      <protection locked="0" hidden="0"/>
    </xf>
    <xf numFmtId="165" fontId="11" fillId="6" borderId="10" applyAlignment="1" applyProtection="1" pivotButton="0" quotePrefix="0" xfId="5">
      <alignment horizontal="center" vertical="center"/>
      <protection locked="0" hidden="0"/>
    </xf>
    <xf numFmtId="2" fontId="11" fillId="6" borderId="10" applyAlignment="1" pivotButton="0" quotePrefix="0" xfId="0">
      <alignment horizontal="center" vertical="center"/>
    </xf>
    <xf numFmtId="2" fontId="11" fillId="6" borderId="10" applyAlignment="1" applyProtection="1" pivotButton="0" quotePrefix="0" xfId="0">
      <alignment horizontal="center" vertical="center"/>
      <protection locked="0" hidden="0"/>
    </xf>
    <xf numFmtId="2" fontId="11" fillId="6" borderId="11" applyAlignment="1" pivotButton="0" quotePrefix="0" xfId="0">
      <alignment horizontal="center" vertical="center"/>
    </xf>
    <xf numFmtId="165" fontId="11" fillId="0" borderId="10" applyAlignment="1" applyProtection="1" pivotButton="0" quotePrefix="0" xfId="5">
      <alignment horizontal="center" vertical="center"/>
      <protection locked="0" hidden="0"/>
    </xf>
    <xf numFmtId="2" fontId="11" fillId="0" borderId="10" applyAlignment="1" applyProtection="1" pivotButton="0" quotePrefix="0" xfId="0">
      <alignment horizontal="center" vertical="center"/>
      <protection locked="0" hidden="0"/>
    </xf>
    <xf numFmtId="4" fontId="11" fillId="7" borderId="18" applyAlignment="1" pivotButton="0" quotePrefix="0" xfId="0">
      <alignment horizontal="center" vertical="center"/>
    </xf>
    <xf numFmtId="2" fontId="11" fillId="7" borderId="17" applyAlignment="1" pivotButton="0" quotePrefix="0" xfId="0">
      <alignment horizontal="center" vertical="center"/>
    </xf>
    <xf numFmtId="165" fontId="11" fillId="7" borderId="20" applyAlignment="1" applyProtection="1" pivotButton="0" quotePrefix="0" xfId="5">
      <alignment horizontal="center" vertical="center"/>
      <protection locked="0" hidden="0"/>
    </xf>
    <xf numFmtId="4" fontId="11" fillId="7" borderId="21" applyAlignment="1" pivotButton="0" quotePrefix="0" xfId="0">
      <alignment horizontal="center" vertical="center"/>
    </xf>
    <xf numFmtId="2" fontId="11" fillId="7" borderId="20" applyAlignment="1" pivotButton="0" quotePrefix="0" xfId="0">
      <alignment horizontal="center" vertical="center"/>
    </xf>
    <xf numFmtId="2" fontId="11" fillId="7" borderId="20" applyAlignment="1" applyProtection="1" pivotButton="0" quotePrefix="0" xfId="0">
      <alignment horizontal="center" vertical="center"/>
      <protection locked="0" hidden="0"/>
    </xf>
    <xf numFmtId="2" fontId="11" fillId="7" borderId="22" applyAlignment="1" applyProtection="1" pivotButton="0" quotePrefix="0" xfId="0">
      <alignment horizontal="center" vertical="center"/>
      <protection locked="0" hidden="0"/>
    </xf>
    <xf numFmtId="4" fontId="11" fillId="6" borderId="18" applyAlignment="1" pivotButton="0" quotePrefix="0" xfId="0">
      <alignment horizontal="center" vertical="center"/>
    </xf>
    <xf numFmtId="165" fontId="11" fillId="6" borderId="20" applyAlignment="1" applyProtection="1" pivotButton="0" quotePrefix="0" xfId="5">
      <alignment horizontal="center" vertical="center"/>
      <protection locked="0" hidden="0"/>
    </xf>
    <xf numFmtId="0" fontId="1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4" fontId="11" fillId="0" borderId="0" applyAlignment="1" applyProtection="1" pivotButton="0" quotePrefix="0" xfId="2">
      <alignment horizontal="right" vertical="center"/>
      <protection locked="0" hidden="0"/>
    </xf>
    <xf numFmtId="4" fontId="11" fillId="0" borderId="0" applyAlignment="1" pivotButton="0" quotePrefix="0" xfId="2">
      <alignment horizontal="right" vertical="center"/>
    </xf>
    <xf numFmtId="4" fontId="11" fillId="5" borderId="0" applyAlignment="1" pivotButton="0" quotePrefix="0" xfId="0">
      <alignment horizontal="center" vertical="center"/>
    </xf>
    <xf numFmtId="2" fontId="11" fillId="5" borderId="34" applyAlignment="1" applyProtection="1" pivotButton="0" quotePrefix="0" xfId="0">
      <alignment horizontal="center" vertical="center"/>
      <protection locked="0" hidden="0"/>
    </xf>
    <xf numFmtId="165" fontId="11" fillId="11" borderId="17" applyAlignment="1" applyProtection="1" pivotButton="0" quotePrefix="0" xfId="5">
      <alignment horizontal="center" vertical="center"/>
      <protection locked="0" hidden="0"/>
    </xf>
    <xf numFmtId="4" fontId="11" fillId="11" borderId="18" applyAlignment="1" pivotButton="0" quotePrefix="0" xfId="0">
      <alignment horizontal="center" vertical="center"/>
    </xf>
    <xf numFmtId="2" fontId="11" fillId="11" borderId="17" applyAlignment="1" pivotButton="0" quotePrefix="0" xfId="0">
      <alignment horizontal="center" vertical="center"/>
    </xf>
    <xf numFmtId="2" fontId="11" fillId="11" borderId="17" applyAlignment="1" applyProtection="1" pivotButton="0" quotePrefix="0" xfId="0">
      <alignment horizontal="center" vertical="center"/>
      <protection locked="0" hidden="0"/>
    </xf>
    <xf numFmtId="2" fontId="11" fillId="11" borderId="19" applyAlignment="1" applyProtection="1" pivotButton="0" quotePrefix="0" xfId="0">
      <alignment horizontal="center" vertical="center"/>
      <protection locked="0" hidden="0"/>
    </xf>
    <xf numFmtId="165" fontId="11" fillId="11" borderId="20" applyAlignment="1" applyProtection="1" pivotButton="0" quotePrefix="0" xfId="5">
      <alignment horizontal="center" vertical="center"/>
      <protection locked="0" hidden="0"/>
    </xf>
    <xf numFmtId="4" fontId="11" fillId="11" borderId="21" applyAlignment="1" pivotButton="0" quotePrefix="0" xfId="0">
      <alignment horizontal="center" vertical="center"/>
    </xf>
    <xf numFmtId="2" fontId="11" fillId="11" borderId="20" applyAlignment="1" pivotButton="0" quotePrefix="0" xfId="0">
      <alignment horizontal="center" vertical="center"/>
    </xf>
    <xf numFmtId="2" fontId="11" fillId="11" borderId="20" applyAlignment="1" applyProtection="1" pivotButton="0" quotePrefix="0" xfId="0">
      <alignment horizontal="center" vertical="center"/>
      <protection locked="0" hidden="0"/>
    </xf>
    <xf numFmtId="2" fontId="11" fillId="11" borderId="22" applyAlignment="1" applyProtection="1" pivotButton="0" quotePrefix="0" xfId="0">
      <alignment horizontal="center" vertical="center"/>
      <protection locked="0" hidden="0"/>
    </xf>
    <xf numFmtId="165" fontId="11" fillId="9" borderId="10" applyAlignment="1" applyProtection="1" pivotButton="0" quotePrefix="0" xfId="5">
      <alignment horizontal="center" vertical="center"/>
      <protection locked="0" hidden="0"/>
    </xf>
    <xf numFmtId="2" fontId="11" fillId="9" borderId="10" applyAlignment="1" pivotButton="0" quotePrefix="0" xfId="0">
      <alignment horizontal="center" vertical="center"/>
    </xf>
    <xf numFmtId="2" fontId="11" fillId="9" borderId="10" applyAlignment="1" applyProtection="1" pivotButton="0" quotePrefix="0" xfId="0">
      <alignment horizontal="center" vertical="center"/>
      <protection locked="0" hidden="0"/>
    </xf>
    <xf numFmtId="165" fontId="11" fillId="9" borderId="11" applyAlignment="1" applyProtection="1" pivotButton="0" quotePrefix="0" xfId="5">
      <alignment horizontal="center" vertical="center"/>
      <protection locked="0" hidden="0"/>
    </xf>
    <xf numFmtId="2" fontId="11" fillId="9" borderId="11" applyAlignment="1" pivotButton="0" quotePrefix="0" xfId="0">
      <alignment horizontal="center" vertical="center"/>
    </xf>
    <xf numFmtId="2" fontId="11" fillId="9" borderId="11" applyAlignment="1" applyProtection="1" pivotButton="0" quotePrefix="0" xfId="0">
      <alignment horizontal="center" vertical="center"/>
      <protection locked="0" hidden="0"/>
    </xf>
    <xf numFmtId="165" fontId="11" fillId="12" borderId="17" applyAlignment="1" applyProtection="1" pivotButton="0" quotePrefix="0" xfId="5">
      <alignment horizontal="center" vertical="center"/>
      <protection locked="0" hidden="0"/>
    </xf>
    <xf numFmtId="4" fontId="11" fillId="12" borderId="18" applyAlignment="1" pivotButton="0" quotePrefix="0" xfId="0">
      <alignment horizontal="center" vertical="center"/>
    </xf>
    <xf numFmtId="2" fontId="11" fillId="12" borderId="17" applyAlignment="1" pivotButton="0" quotePrefix="0" xfId="0">
      <alignment horizontal="center" vertical="center"/>
    </xf>
    <xf numFmtId="2" fontId="11" fillId="12" borderId="17" applyAlignment="1" applyProtection="1" pivotButton="0" quotePrefix="0" xfId="0">
      <alignment horizontal="center" vertical="center"/>
      <protection locked="0" hidden="0"/>
    </xf>
    <xf numFmtId="2" fontId="11" fillId="12" borderId="19" applyAlignment="1" applyProtection="1" pivotButton="0" quotePrefix="0" xfId="0">
      <alignment horizontal="center" vertical="center"/>
      <protection locked="0" hidden="0"/>
    </xf>
    <xf numFmtId="165" fontId="11" fillId="12" borderId="20" applyAlignment="1" applyProtection="1" pivotButton="0" quotePrefix="0" xfId="5">
      <alignment horizontal="center" vertical="center"/>
      <protection locked="0" hidden="0"/>
    </xf>
    <xf numFmtId="4" fontId="11" fillId="12" borderId="21" applyAlignment="1" pivotButton="0" quotePrefix="0" xfId="0">
      <alignment horizontal="center" vertical="center"/>
    </xf>
    <xf numFmtId="2" fontId="11" fillId="12" borderId="20" applyAlignment="1" pivotButton="0" quotePrefix="0" xfId="0">
      <alignment horizontal="center" vertical="center"/>
    </xf>
    <xf numFmtId="2" fontId="11" fillId="12" borderId="20" applyAlignment="1" applyProtection="1" pivotButton="0" quotePrefix="0" xfId="0">
      <alignment horizontal="center" vertical="center"/>
      <protection locked="0" hidden="0"/>
    </xf>
    <xf numFmtId="2" fontId="11" fillId="12" borderId="22" applyAlignment="1" applyProtection="1" pivotButton="0" quotePrefix="0" xfId="0">
      <alignment horizontal="center" vertical="center"/>
      <protection locked="0" hidden="0"/>
    </xf>
    <xf numFmtId="165" fontId="11" fillId="13" borderId="17" applyAlignment="1" applyProtection="1" pivotButton="0" quotePrefix="0" xfId="5">
      <alignment horizontal="center" vertical="center"/>
      <protection locked="0" hidden="0"/>
    </xf>
    <xf numFmtId="4" fontId="11" fillId="13" borderId="18" applyAlignment="1" pivotButton="0" quotePrefix="0" xfId="0">
      <alignment horizontal="center" vertical="center"/>
    </xf>
    <xf numFmtId="2" fontId="11" fillId="13" borderId="17" applyAlignment="1" pivotButton="0" quotePrefix="0" xfId="0">
      <alignment horizontal="center" vertical="center"/>
    </xf>
    <xf numFmtId="2" fontId="11" fillId="13" borderId="17" applyAlignment="1" applyProtection="1" pivotButton="0" quotePrefix="0" xfId="0">
      <alignment horizontal="center" vertical="center"/>
      <protection locked="0" hidden="0"/>
    </xf>
    <xf numFmtId="2" fontId="11" fillId="13" borderId="19" applyAlignment="1" applyProtection="1" pivotButton="0" quotePrefix="0" xfId="0">
      <alignment horizontal="center" vertical="center"/>
      <protection locked="0" hidden="0"/>
    </xf>
    <xf numFmtId="165" fontId="11" fillId="13" borderId="20" applyAlignment="1" applyProtection="1" pivotButton="0" quotePrefix="0" xfId="5">
      <alignment horizontal="center" vertical="center"/>
      <protection locked="0" hidden="0"/>
    </xf>
    <xf numFmtId="4" fontId="11" fillId="13" borderId="21" applyAlignment="1" pivotButton="0" quotePrefix="0" xfId="0">
      <alignment horizontal="center" vertical="center"/>
    </xf>
    <xf numFmtId="2" fontId="11" fillId="13" borderId="20" applyAlignment="1" pivotButton="0" quotePrefix="0" xfId="0">
      <alignment horizontal="center" vertical="center"/>
    </xf>
    <xf numFmtId="2" fontId="11" fillId="13" borderId="20" applyAlignment="1" applyProtection="1" pivotButton="0" quotePrefix="0" xfId="0">
      <alignment horizontal="center" vertical="center"/>
      <protection locked="0" hidden="0"/>
    </xf>
    <xf numFmtId="2" fontId="11" fillId="13" borderId="22" applyAlignment="1" applyProtection="1" pivotButton="0" quotePrefix="0" xfId="0">
      <alignment horizontal="center" vertical="center"/>
      <protection locked="0" hidden="0"/>
    </xf>
    <xf numFmtId="165" fontId="11" fillId="14" borderId="17" applyAlignment="1" applyProtection="1" pivotButton="0" quotePrefix="0" xfId="5">
      <alignment horizontal="center" vertical="center"/>
      <protection locked="0" hidden="0"/>
    </xf>
    <xf numFmtId="4" fontId="11" fillId="14" borderId="18" applyAlignment="1" pivotButton="0" quotePrefix="0" xfId="0">
      <alignment horizontal="center" vertical="center"/>
    </xf>
    <xf numFmtId="2" fontId="11" fillId="14" borderId="17" applyAlignment="1" pivotButton="0" quotePrefix="0" xfId="0">
      <alignment horizontal="center" vertical="center"/>
    </xf>
    <xf numFmtId="2" fontId="11" fillId="14" borderId="17" applyAlignment="1" applyProtection="1" pivotButton="0" quotePrefix="0" xfId="0">
      <alignment horizontal="center" vertical="center"/>
      <protection locked="0" hidden="0"/>
    </xf>
    <xf numFmtId="2" fontId="11" fillId="14" borderId="19" applyAlignment="1" applyProtection="1" pivotButton="0" quotePrefix="0" xfId="0">
      <alignment horizontal="center" vertical="center"/>
      <protection locked="0" hidden="0"/>
    </xf>
    <xf numFmtId="165" fontId="11" fillId="14" borderId="20" applyAlignment="1" applyProtection="1" pivotButton="0" quotePrefix="0" xfId="5">
      <alignment horizontal="center" vertical="center"/>
      <protection locked="0" hidden="0"/>
    </xf>
    <xf numFmtId="4" fontId="11" fillId="14" borderId="21" applyAlignment="1" pivotButton="0" quotePrefix="0" xfId="0">
      <alignment horizontal="center" vertical="center"/>
    </xf>
    <xf numFmtId="2" fontId="11" fillId="14" borderId="20" applyAlignment="1" pivotButton="0" quotePrefix="0" xfId="0">
      <alignment horizontal="center" vertical="center"/>
    </xf>
    <xf numFmtId="2" fontId="11" fillId="14" borderId="20" applyAlignment="1" applyProtection="1" pivotButton="0" quotePrefix="0" xfId="0">
      <alignment horizontal="center" vertical="center"/>
      <protection locked="0" hidden="0"/>
    </xf>
    <xf numFmtId="2" fontId="11" fillId="14" borderId="22" applyAlignment="1" applyProtection="1" pivotButton="0" quotePrefix="0" xfId="0">
      <alignment horizontal="center" vertical="center"/>
      <protection locked="0" hidden="0"/>
    </xf>
    <xf numFmtId="165" fontId="11" fillId="15" borderId="10" applyAlignment="1" applyProtection="1" pivotButton="0" quotePrefix="0" xfId="5">
      <alignment horizontal="center" vertical="center"/>
      <protection locked="0" hidden="0"/>
    </xf>
    <xf numFmtId="2" fontId="11" fillId="15" borderId="10" applyAlignment="1" pivotButton="0" quotePrefix="0" xfId="0">
      <alignment horizontal="center" vertical="center"/>
    </xf>
    <xf numFmtId="2" fontId="11" fillId="15" borderId="10" applyAlignment="1" applyProtection="1" pivotButton="0" quotePrefix="0" xfId="0">
      <alignment horizontal="center" vertical="center"/>
      <protection locked="0" hidden="0"/>
    </xf>
    <xf numFmtId="165" fontId="11" fillId="15" borderId="11" applyAlignment="1" applyProtection="1" pivotButton="0" quotePrefix="0" xfId="5">
      <alignment horizontal="center" vertical="center"/>
      <protection locked="0" hidden="0"/>
    </xf>
    <xf numFmtId="2" fontId="11" fillId="15" borderId="11" applyAlignment="1" pivotButton="0" quotePrefix="0" xfId="0">
      <alignment horizontal="center" vertical="center"/>
    </xf>
    <xf numFmtId="2" fontId="11" fillId="15" borderId="11" applyAlignment="1" applyProtection="1" pivotButton="0" quotePrefix="0" xfId="0">
      <alignment horizontal="center" vertical="center"/>
      <protection locked="0" hidden="0"/>
    </xf>
    <xf numFmtId="165" fontId="11" fillId="7" borderId="24" applyAlignment="1" applyProtection="1" pivotButton="0" quotePrefix="0" xfId="5">
      <alignment horizontal="center" vertical="center"/>
      <protection locked="0" hidden="0"/>
    </xf>
    <xf numFmtId="2" fontId="11" fillId="7" borderId="24" applyAlignment="1" applyProtection="1" pivotButton="0" quotePrefix="0" xfId="0">
      <alignment horizontal="center" vertical="center"/>
      <protection locked="0" hidden="0"/>
    </xf>
    <xf numFmtId="2" fontId="11" fillId="7" borderId="25" applyAlignment="1" applyProtection="1" pivotButton="0" quotePrefix="0" xfId="0">
      <alignment horizontal="center" vertical="center"/>
      <protection locked="0" hidden="0"/>
    </xf>
    <xf numFmtId="2" fontId="11" fillId="5" borderId="5" applyAlignment="1" applyProtection="1" pivotButton="0" quotePrefix="0" xfId="0">
      <alignment horizontal="center" vertical="center"/>
      <protection locked="0" hidden="0"/>
    </xf>
    <xf numFmtId="165" fontId="11" fillId="5" borderId="27" applyAlignment="1" applyProtection="1" pivotButton="0" quotePrefix="0" xfId="5">
      <alignment horizontal="center" vertical="center"/>
      <protection locked="0" hidden="0"/>
    </xf>
    <xf numFmtId="2" fontId="11" fillId="5" borderId="27" applyAlignment="1" pivotButton="0" quotePrefix="0" xfId="0">
      <alignment horizontal="center" vertical="center"/>
    </xf>
    <xf numFmtId="2" fontId="11" fillId="5" borderId="27" applyAlignment="1" applyProtection="1" pivotButton="0" quotePrefix="0" xfId="0">
      <alignment horizontal="center" vertical="center"/>
      <protection locked="0" hidden="0"/>
    </xf>
    <xf numFmtId="165" fontId="11" fillId="6" borderId="17" applyAlignment="1" applyProtection="1" pivotButton="0" quotePrefix="0" xfId="5">
      <alignment horizontal="center" vertical="center"/>
      <protection locked="0" hidden="0"/>
    </xf>
    <xf numFmtId="2" fontId="11" fillId="6" borderId="17" applyAlignment="1" pivotButton="0" quotePrefix="0" xfId="0">
      <alignment horizontal="center" vertical="center"/>
    </xf>
    <xf numFmtId="2" fontId="11" fillId="6" borderId="17" applyAlignment="1" applyProtection="1" pivotButton="0" quotePrefix="0" xfId="0">
      <alignment horizontal="center" vertical="center"/>
      <protection locked="0" hidden="0"/>
    </xf>
    <xf numFmtId="2" fontId="11" fillId="6" borderId="19" applyAlignment="1" applyProtection="1" pivotButton="0" quotePrefix="0" xfId="0">
      <alignment horizontal="center" vertical="center"/>
      <protection locked="0" hidden="0"/>
    </xf>
    <xf numFmtId="4" fontId="11" fillId="6" borderId="0" applyAlignment="1" pivotButton="0" quotePrefix="0" xfId="0">
      <alignment horizontal="center" vertical="center"/>
    </xf>
    <xf numFmtId="2" fontId="11" fillId="6" borderId="34" applyAlignment="1" applyProtection="1" pivotButton="0" quotePrefix="0" xfId="0">
      <alignment horizontal="center" vertical="center"/>
      <protection locked="0" hidden="0"/>
    </xf>
    <xf numFmtId="166" fontId="14" fillId="13" borderId="41" applyAlignment="1" pivotButton="0" quotePrefix="0" xfId="0">
      <alignment horizontal="left" vertical="center"/>
    </xf>
    <xf numFmtId="166" fontId="14" fillId="13" borderId="42" applyAlignment="1" pivotButton="0" quotePrefix="0" xfId="0">
      <alignment horizontal="left" vertical="center"/>
    </xf>
    <xf numFmtId="166" fontId="14" fillId="5" borderId="40" applyAlignment="1" pivotButton="0" quotePrefix="0" xfId="0">
      <alignment horizontal="left" vertical="center"/>
    </xf>
    <xf numFmtId="2" fontId="11" fillId="5" borderId="43" applyAlignment="1" applyProtection="1" pivotButton="0" quotePrefix="0" xfId="0">
      <alignment horizontal="center" vertical="center"/>
      <protection locked="0" hidden="0"/>
    </xf>
    <xf numFmtId="166" fontId="14" fillId="11" borderId="41" applyAlignment="1" pivotButton="0" quotePrefix="0" xfId="0">
      <alignment horizontal="left" vertical="center"/>
    </xf>
    <xf numFmtId="166" fontId="14" fillId="11" borderId="42" applyAlignment="1" pivotButton="0" quotePrefix="0" xfId="0">
      <alignment horizontal="left" vertical="center"/>
    </xf>
    <xf numFmtId="166" fontId="14" fillId="9" borderId="40" applyAlignment="1" pivotButton="0" quotePrefix="0" xfId="0">
      <alignment horizontal="left" vertical="center"/>
    </xf>
    <xf numFmtId="4" fontId="11" fillId="9" borderId="0" applyAlignment="1" pivotButton="0" quotePrefix="0" xfId="0">
      <alignment horizontal="center" vertical="center"/>
    </xf>
    <xf numFmtId="2" fontId="11" fillId="9" borderId="43" applyAlignment="1" applyProtection="1" pivotButton="0" quotePrefix="0" xfId="0">
      <alignment horizontal="center" vertical="center"/>
      <protection locked="0" hidden="0"/>
    </xf>
    <xf numFmtId="2" fontId="11" fillId="9" borderId="34" applyAlignment="1" applyProtection="1" pivotButton="0" quotePrefix="0" xfId="0">
      <alignment horizontal="center" vertical="center"/>
      <protection locked="0" hidden="0"/>
    </xf>
    <xf numFmtId="166" fontId="14" fillId="12" borderId="41" applyAlignment="1" pivotButton="0" quotePrefix="0" xfId="0">
      <alignment horizontal="left" vertical="center"/>
    </xf>
    <xf numFmtId="166" fontId="14" fillId="12" borderId="42" applyAlignment="1" pivotButton="0" quotePrefix="0" xfId="0">
      <alignment horizontal="left" vertical="center"/>
    </xf>
    <xf numFmtId="167" fontId="11" fillId="0" borderId="0" applyAlignment="1" pivotButton="0" quotePrefix="0" xfId="0">
      <alignment horizontal="center" vertical="center"/>
    </xf>
    <xf numFmtId="167" fontId="11" fillId="0" borderId="29" applyAlignment="1" pivotButton="0" quotePrefix="0" xfId="0">
      <alignment horizontal="center" vertical="center"/>
    </xf>
    <xf numFmtId="166" fontId="14" fillId="6" borderId="40" applyAlignment="1" pivotButton="0" quotePrefix="0" xfId="0">
      <alignment horizontal="left" vertical="center"/>
    </xf>
    <xf numFmtId="2" fontId="11" fillId="6" borderId="43" applyAlignment="1" applyProtection="1" pivotButton="0" quotePrefix="0" xfId="0">
      <alignment horizontal="center" vertical="center"/>
      <protection locked="0" hidden="0"/>
    </xf>
    <xf numFmtId="166" fontId="14" fillId="14" borderId="41" applyAlignment="1" pivotButton="0" quotePrefix="0" xfId="0">
      <alignment horizontal="left" vertical="center"/>
    </xf>
    <xf numFmtId="166" fontId="14" fillId="14" borderId="42" applyAlignment="1" pivotButton="0" quotePrefix="0" xfId="0">
      <alignment horizontal="left" vertical="center"/>
    </xf>
    <xf numFmtId="166" fontId="14" fillId="15" borderId="40" applyAlignment="1" pivotButton="0" quotePrefix="0" xfId="0">
      <alignment horizontal="left" vertical="center"/>
    </xf>
    <xf numFmtId="4" fontId="11" fillId="15" borderId="0" applyAlignment="1" pivotButton="0" quotePrefix="0" xfId="0">
      <alignment horizontal="center" vertical="center"/>
    </xf>
    <xf numFmtId="2" fontId="11" fillId="15" borderId="43" applyAlignment="1" applyProtection="1" pivotButton="0" quotePrefix="0" xfId="0">
      <alignment horizontal="center" vertical="center"/>
      <protection locked="0" hidden="0"/>
    </xf>
    <xf numFmtId="2" fontId="11" fillId="15" borderId="34" applyAlignment="1" applyProtection="1" pivotButton="0" quotePrefix="0" xfId="0">
      <alignment horizontal="center" vertical="center"/>
      <protection locked="0" hidden="0"/>
    </xf>
    <xf numFmtId="166" fontId="14" fillId="7" borderId="41" applyAlignment="1" pivotButton="0" quotePrefix="0" xfId="0">
      <alignment horizontal="left" vertical="center"/>
    </xf>
    <xf numFmtId="166" fontId="14" fillId="7" borderId="44" applyAlignment="1" pivotButton="0" quotePrefix="0" xfId="0">
      <alignment horizontal="left" vertical="center"/>
    </xf>
    <xf numFmtId="165" fontId="11" fillId="0" borderId="0" applyAlignment="1" applyProtection="1" pivotButton="0" quotePrefix="0" xfId="5">
      <alignment horizontal="center" vertical="center"/>
      <protection locked="0" hidden="0"/>
    </xf>
    <xf numFmtId="2" fontId="11" fillId="8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2" fontId="11" fillId="0" borderId="0" applyAlignment="1" applyProtection="1" pivotButton="0" quotePrefix="0" xfId="0">
      <alignment horizontal="center" vertical="center"/>
      <protection locked="0" hidden="0"/>
    </xf>
    <xf numFmtId="2" fontId="11" fillId="0" borderId="29" applyAlignment="1" applyProtection="1" pivotButton="0" quotePrefix="0" xfId="0">
      <alignment horizontal="center" vertical="center"/>
      <protection locked="0" hidden="0"/>
    </xf>
    <xf numFmtId="166" fontId="14" fillId="5" borderId="45" applyAlignment="1" pivotButton="0" quotePrefix="0" xfId="0">
      <alignment horizontal="left" vertical="center"/>
    </xf>
    <xf numFmtId="2" fontId="11" fillId="5" borderId="46" applyAlignment="1" applyProtection="1" pivotButton="0" quotePrefix="0" xfId="0">
      <alignment horizontal="center" vertical="center"/>
      <protection locked="0" hidden="0"/>
    </xf>
    <xf numFmtId="2" fontId="11" fillId="5" borderId="47" applyAlignment="1" applyProtection="1" pivotButton="0" quotePrefix="0" xfId="0">
      <alignment horizontal="center" vertical="center"/>
      <protection locked="0" hidden="0"/>
    </xf>
    <xf numFmtId="166" fontId="14" fillId="6" borderId="41" applyAlignment="1" pivotButton="0" quotePrefix="0" xfId="0">
      <alignment horizontal="left" vertical="center"/>
    </xf>
    <xf numFmtId="166" fontId="14" fillId="6" borderId="42" applyAlignment="1" pivotButton="0" quotePrefix="0" xfId="0">
      <alignment horizontal="left" vertical="center"/>
    </xf>
    <xf numFmtId="167" fontId="11" fillId="0" borderId="20" applyAlignment="1" pivotButton="0" quotePrefix="0" xfId="0">
      <alignment horizontal="center" vertical="center"/>
    </xf>
    <xf numFmtId="167" fontId="11" fillId="0" borderId="22" applyAlignment="1" pivotButton="0" quotePrefix="0" xfId="0">
      <alignment horizontal="center" vertical="center"/>
    </xf>
    <xf numFmtId="4" fontId="0" fillId="0" borderId="26" pivotButton="0" quotePrefix="0" xfId="0"/>
    <xf numFmtId="2" fontId="11" fillId="13" borderId="9" applyAlignment="1" pivotButton="0" quotePrefix="0" xfId="0">
      <alignment horizontal="center" vertical="center"/>
    </xf>
    <xf numFmtId="2" fontId="11" fillId="5" borderId="9" applyAlignment="1" pivotButton="0" quotePrefix="0" xfId="0">
      <alignment horizontal="center" vertical="center"/>
    </xf>
    <xf numFmtId="2" fontId="11" fillId="11" borderId="9" applyAlignment="1" pivotButton="0" quotePrefix="0" xfId="0">
      <alignment horizontal="center" vertical="center"/>
    </xf>
    <xf numFmtId="2" fontId="11" fillId="9" borderId="9" applyAlignment="1" pivotButton="0" quotePrefix="0" xfId="0">
      <alignment horizontal="center" vertical="center"/>
    </xf>
    <xf numFmtId="2" fontId="11" fillId="12" borderId="9" applyAlignment="1" pivotButton="0" quotePrefix="0" xfId="0">
      <alignment horizontal="center" vertical="center"/>
    </xf>
    <xf numFmtId="2" fontId="11" fillId="6" borderId="9" applyAlignment="1" pivotButton="0" quotePrefix="0" xfId="0">
      <alignment horizontal="center" vertical="center"/>
    </xf>
    <xf numFmtId="2" fontId="11" fillId="14" borderId="9" applyAlignment="1" pivotButton="0" quotePrefix="0" xfId="0">
      <alignment horizontal="center" vertical="center"/>
    </xf>
    <xf numFmtId="2" fontId="11" fillId="15" borderId="9" applyAlignment="1" pivotButton="0" quotePrefix="0" xfId="0">
      <alignment horizontal="center" vertical="center"/>
    </xf>
    <xf numFmtId="2" fontId="11" fillId="7" borderId="9" applyAlignment="1" pivotButton="0" quotePrefix="0" xfId="0">
      <alignment horizontal="center" vertical="center"/>
    </xf>
    <xf numFmtId="2" fontId="11" fillId="6" borderId="33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 wrapText="1"/>
    </xf>
    <xf numFmtId="0" fontId="24" fillId="16" borderId="50" applyAlignment="1" applyProtection="1" pivotButton="0" quotePrefix="0" xfId="0">
      <alignment horizontal="center" vertical="center" wrapText="1"/>
      <protection locked="0" hidden="0"/>
    </xf>
    <xf numFmtId="0" fontId="2" fillId="0" borderId="0" applyProtection="1" pivotButton="0" quotePrefix="0" xfId="3">
      <protection locked="0" hidden="0"/>
    </xf>
    <xf numFmtId="0" fontId="10" fillId="0" borderId="0" applyProtection="1" pivotButton="0" quotePrefix="0" xfId="3">
      <protection locked="0" hidden="0"/>
    </xf>
    <xf numFmtId="0" fontId="12" fillId="0" borderId="0" applyAlignment="1" applyProtection="1" pivotButton="0" quotePrefix="0" xfId="1">
      <alignment horizontal="right"/>
      <protection locked="0" hidden="0"/>
    </xf>
    <xf numFmtId="0" fontId="4" fillId="0" borderId="0" applyAlignment="1" applyProtection="1" pivotButton="0" quotePrefix="0" xfId="0">
      <alignment horizontal="right"/>
      <protection locked="0" hidden="0"/>
    </xf>
    <xf numFmtId="0" fontId="4" fillId="2" borderId="3" applyAlignment="1" applyProtection="1" pivotButton="0" quotePrefix="0" xfId="0">
      <alignment horizontal="center"/>
      <protection locked="0" hidden="0"/>
    </xf>
    <xf numFmtId="0" fontId="4" fillId="2" borderId="0" applyAlignment="1" applyProtection="1" pivotButton="0" quotePrefix="0" xfId="0">
      <alignment horizontal="center"/>
      <protection locked="0" hidden="0"/>
    </xf>
    <xf numFmtId="0" fontId="4" fillId="2" borderId="4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0" fontId="11" fillId="10" borderId="12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0" fontId="6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left" indent="1"/>
      <protection locked="0" hidden="0"/>
    </xf>
    <xf numFmtId="164" fontId="4" fillId="0" borderId="1" applyAlignment="1" applyProtection="1" pivotButton="0" quotePrefix="0" xfId="0">
      <alignment horizontal="center"/>
      <protection locked="0" hidden="0"/>
    </xf>
    <xf numFmtId="0" fontId="15" fillId="0" borderId="0" applyAlignment="1" applyProtection="1" pivotButton="0" quotePrefix="0" xfId="0">
      <alignment horizontal="right"/>
      <protection locked="0" hidden="0"/>
    </xf>
    <xf numFmtId="0" fontId="0" fillId="4" borderId="5" applyAlignment="1" applyProtection="1" pivotButton="0" quotePrefix="0" xfId="0">
      <alignment vertical="center"/>
      <protection locked="0" hidden="0"/>
    </xf>
    <xf numFmtId="0" fontId="0" fillId="4" borderId="35" applyAlignment="1" applyProtection="1" pivotButton="0" quotePrefix="0" xfId="0">
      <alignment vertical="center"/>
      <protection locked="0" hidden="0"/>
    </xf>
    <xf numFmtId="0" fontId="20" fillId="4" borderId="16" applyAlignment="1" applyProtection="1" pivotButton="0" quotePrefix="0" xfId="0">
      <alignment horizontal="center" vertical="center" wrapText="1"/>
      <protection locked="0" hidden="0"/>
    </xf>
    <xf numFmtId="0" fontId="21" fillId="4" borderId="17" applyAlignment="1" applyProtection="1" pivotButton="0" quotePrefix="0" xfId="0">
      <alignment horizontal="center" vertical="center" wrapText="1"/>
      <protection locked="0" hidden="0"/>
    </xf>
    <xf numFmtId="0" fontId="20" fillId="4" borderId="17" applyAlignment="1" applyProtection="1" pivotButton="0" quotePrefix="0" xfId="0">
      <alignment vertical="center"/>
      <protection locked="0" hidden="0"/>
    </xf>
    <xf numFmtId="0" fontId="20" fillId="4" borderId="17" applyAlignment="1" applyProtection="1" pivotButton="0" quotePrefix="0" xfId="0">
      <alignment horizontal="center" vertical="center" wrapText="1"/>
      <protection locked="0" hidden="0"/>
    </xf>
    <xf numFmtId="0" fontId="21" fillId="4" borderId="19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0" fontId="0" fillId="0" borderId="11" applyProtection="1" pivotButton="0" quotePrefix="0" xfId="0"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29" applyProtection="1" pivotButton="0" quotePrefix="0" xfId="0">
      <protection locked="0" hidden="0"/>
    </xf>
    <xf numFmtId="0" fontId="22" fillId="13" borderId="16" applyProtection="1" pivotButton="0" quotePrefix="0" xfId="0">
      <protection locked="0" hidden="0"/>
    </xf>
    <xf numFmtId="0" fontId="0" fillId="13" borderId="36" applyProtection="1" pivotButton="0" quotePrefix="0" xfId="0">
      <protection locked="0" hidden="0"/>
    </xf>
    <xf numFmtId="165" fontId="11" fillId="13" borderId="17" applyAlignment="1" pivotButton="0" quotePrefix="0" xfId="5">
      <alignment horizontal="center" vertical="center"/>
    </xf>
    <xf numFmtId="0" fontId="11" fillId="13" borderId="18" applyAlignment="1" applyProtection="1" pivotButton="0" quotePrefix="0" xfId="0">
      <alignment horizontal="center" vertical="center"/>
      <protection locked="0" hidden="0"/>
    </xf>
    <xf numFmtId="0" fontId="11" fillId="13" borderId="14" applyProtection="1" pivotButton="0" quotePrefix="0" xfId="0">
      <protection locked="0" hidden="0"/>
    </xf>
    <xf numFmtId="4" fontId="11" fillId="13" borderId="5" applyAlignment="1" applyProtection="1" pivotButton="0" quotePrefix="0" xfId="0">
      <alignment horizontal="center" vertical="center"/>
      <protection locked="0" hidden="0"/>
    </xf>
    <xf numFmtId="4" fontId="11" fillId="8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11" fillId="13" borderId="20" applyAlignment="1" pivotButton="0" quotePrefix="0" xfId="5">
      <alignment horizontal="center" vertical="center"/>
    </xf>
    <xf numFmtId="0" fontId="11" fillId="13" borderId="21" applyAlignment="1" applyProtection="1" pivotButton="0" quotePrefix="0" xfId="0">
      <alignment horizontal="center" vertical="center"/>
      <protection locked="0" hidden="0"/>
    </xf>
    <xf numFmtId="0" fontId="22" fillId="5" borderId="16" applyProtection="1" pivotButton="0" quotePrefix="0" xfId="0">
      <protection locked="0" hidden="0"/>
    </xf>
    <xf numFmtId="0" fontId="0" fillId="5" borderId="36" applyProtection="1" pivotButton="0" quotePrefix="0" xfId="0">
      <protection locked="0" hidden="0"/>
    </xf>
    <xf numFmtId="165" fontId="11" fillId="5" borderId="10" applyAlignment="1" pivotButton="0" quotePrefix="0" xfId="5">
      <alignment horizontal="center" vertical="center"/>
    </xf>
    <xf numFmtId="0" fontId="11" fillId="5" borderId="0" applyAlignment="1" applyProtection="1" pivotButton="0" quotePrefix="0" xfId="0">
      <alignment horizontal="center" vertical="center"/>
      <protection locked="0" hidden="0"/>
    </xf>
    <xf numFmtId="0" fontId="11" fillId="5" borderId="42" applyProtection="1" pivotButton="0" quotePrefix="0" xfId="0">
      <protection locked="0" hidden="0"/>
    </xf>
    <xf numFmtId="4" fontId="11" fillId="5" borderId="5" applyAlignment="1" applyProtection="1" pivotButton="0" quotePrefix="0" xfId="0">
      <alignment horizontal="center" vertical="center"/>
      <protection locked="0" hidden="0"/>
    </xf>
    <xf numFmtId="165" fontId="11" fillId="5" borderId="11" applyAlignment="1" pivotButton="0" quotePrefix="0" xfId="5">
      <alignment horizontal="center" vertical="center"/>
    </xf>
    <xf numFmtId="0" fontId="11" fillId="5" borderId="41" applyProtection="1" pivotButton="0" quotePrefix="0" xfId="0">
      <protection locked="0" hidden="0"/>
    </xf>
    <xf numFmtId="0" fontId="22" fillId="11" borderId="16" applyProtection="1" pivotButton="0" quotePrefix="0" xfId="0">
      <protection locked="0" hidden="0"/>
    </xf>
    <xf numFmtId="0" fontId="0" fillId="11" borderId="36" applyProtection="1" pivotButton="0" quotePrefix="0" xfId="0">
      <protection locked="0" hidden="0"/>
    </xf>
    <xf numFmtId="165" fontId="11" fillId="11" borderId="17" applyAlignment="1" pivotButton="0" quotePrefix="0" xfId="5">
      <alignment horizontal="center" vertical="center"/>
    </xf>
    <xf numFmtId="0" fontId="11" fillId="11" borderId="18" applyAlignment="1" applyProtection="1" pivotButton="0" quotePrefix="0" xfId="0">
      <alignment horizontal="center" vertical="center"/>
      <protection locked="0" hidden="0"/>
    </xf>
    <xf numFmtId="0" fontId="11" fillId="11" borderId="14" applyProtection="1" pivotButton="0" quotePrefix="0" xfId="0">
      <protection locked="0" hidden="0"/>
    </xf>
    <xf numFmtId="4" fontId="11" fillId="11" borderId="5" applyAlignment="1" applyProtection="1" pivotButton="0" quotePrefix="0" xfId="0">
      <alignment horizontal="center" vertical="center"/>
      <protection locked="0" hidden="0"/>
    </xf>
    <xf numFmtId="165" fontId="11" fillId="11" borderId="20" applyAlignment="1" pivotButton="0" quotePrefix="0" xfId="5">
      <alignment horizontal="center" vertical="center"/>
    </xf>
    <xf numFmtId="0" fontId="11" fillId="11" borderId="21" applyAlignment="1" applyProtection="1" pivotButton="0" quotePrefix="0" xfId="0">
      <alignment horizontal="center" vertical="center"/>
      <protection locked="0" hidden="0"/>
    </xf>
    <xf numFmtId="0" fontId="23" fillId="9" borderId="16" applyProtection="1" pivotButton="0" quotePrefix="0" xfId="0">
      <protection locked="0" hidden="0"/>
    </xf>
    <xf numFmtId="0" fontId="0" fillId="9" borderId="36" applyProtection="1" pivotButton="0" quotePrefix="0" xfId="0">
      <protection locked="0" hidden="0"/>
    </xf>
    <xf numFmtId="165" fontId="11" fillId="9" borderId="10" applyAlignment="1" pivotButton="0" quotePrefix="0" xfId="5">
      <alignment horizontal="center" vertical="center"/>
    </xf>
    <xf numFmtId="0" fontId="11" fillId="9" borderId="0" applyAlignment="1" applyProtection="1" pivotButton="0" quotePrefix="0" xfId="0">
      <alignment horizontal="center" vertical="center"/>
      <protection locked="0" hidden="0"/>
    </xf>
    <xf numFmtId="0" fontId="11" fillId="9" borderId="42" applyProtection="1" pivotButton="0" quotePrefix="0" xfId="0">
      <protection locked="0" hidden="0"/>
    </xf>
    <xf numFmtId="4" fontId="11" fillId="9" borderId="5" applyAlignment="1" applyProtection="1" pivotButton="0" quotePrefix="0" xfId="0">
      <alignment horizontal="center" vertical="center"/>
      <protection locked="0" hidden="0"/>
    </xf>
    <xf numFmtId="165" fontId="11" fillId="9" borderId="11" applyAlignment="1" pivotButton="0" quotePrefix="0" xfId="5">
      <alignment horizontal="center" vertical="center"/>
    </xf>
    <xf numFmtId="0" fontId="11" fillId="9" borderId="41" applyProtection="1" pivotButton="0" quotePrefix="0" xfId="0">
      <protection locked="0" hidden="0"/>
    </xf>
    <xf numFmtId="0" fontId="22" fillId="12" borderId="16" applyProtection="1" pivotButton="0" quotePrefix="0" xfId="0">
      <protection locked="0" hidden="0"/>
    </xf>
    <xf numFmtId="0" fontId="0" fillId="12" borderId="36" applyProtection="1" pivotButton="0" quotePrefix="0" xfId="0">
      <protection locked="0" hidden="0"/>
    </xf>
    <xf numFmtId="165" fontId="11" fillId="12" borderId="17" applyAlignment="1" pivotButton="0" quotePrefix="0" xfId="5">
      <alignment horizontal="center" vertical="center"/>
    </xf>
    <xf numFmtId="0" fontId="11" fillId="12" borderId="18" applyAlignment="1" applyProtection="1" pivotButton="0" quotePrefix="0" xfId="0">
      <alignment horizontal="center" vertical="center"/>
      <protection locked="0" hidden="0"/>
    </xf>
    <xf numFmtId="0" fontId="11" fillId="12" borderId="14" applyProtection="1" pivotButton="0" quotePrefix="0" xfId="0">
      <protection locked="0" hidden="0"/>
    </xf>
    <xf numFmtId="4" fontId="11" fillId="12" borderId="5" applyAlignment="1" applyProtection="1" pivotButton="0" quotePrefix="0" xfId="0">
      <alignment horizontal="center" vertical="center"/>
      <protection locked="0" hidden="0"/>
    </xf>
    <xf numFmtId="165" fontId="11" fillId="12" borderId="20" applyAlignment="1" pivotButton="0" quotePrefix="0" xfId="5">
      <alignment horizontal="center" vertical="center"/>
    </xf>
    <xf numFmtId="0" fontId="11" fillId="12" borderId="21" applyAlignment="1" applyProtection="1" pivotButton="0" quotePrefix="0" xfId="0">
      <alignment horizontal="center" vertical="center"/>
      <protection locked="0" hidden="0"/>
    </xf>
    <xf numFmtId="0" fontId="22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 vertical="center"/>
      <protection locked="0" hidden="0"/>
    </xf>
    <xf numFmtId="167" fontId="11" fillId="0" borderId="0" applyAlignment="1" applyProtection="1" pivotButton="0" quotePrefix="0" xfId="0">
      <alignment horizontal="center" vertical="center"/>
      <protection locked="0" hidden="0"/>
    </xf>
    <xf numFmtId="0" fontId="22" fillId="0" borderId="23" applyProtection="1" pivotButton="0" quotePrefix="0" xfId="0">
      <protection locked="0" hidden="0"/>
    </xf>
    <xf numFmtId="165" fontId="11" fillId="0" borderId="11" applyAlignment="1" pivotButton="0" quotePrefix="0" xfId="5">
      <alignment horizontal="center" vertical="center"/>
    </xf>
    <xf numFmtId="2" fontId="11" fillId="0" borderId="11" applyAlignment="1" pivotButton="0" quotePrefix="0" xfId="0">
      <alignment horizontal="center" vertical="center"/>
    </xf>
    <xf numFmtId="0" fontId="22" fillId="13" borderId="37" applyProtection="1" pivotButton="0" quotePrefix="0" xfId="0">
      <protection locked="0" hidden="0"/>
    </xf>
    <xf numFmtId="4" fontId="11" fillId="8" borderId="31" applyAlignment="1" applyProtection="1" pivotButton="0" quotePrefix="0" xfId="0">
      <alignment horizontal="center" vertical="center"/>
      <protection locked="0" hidden="0"/>
    </xf>
    <xf numFmtId="0" fontId="22" fillId="13" borderId="38" applyProtection="1" pivotButton="0" quotePrefix="0" xfId="0">
      <protection locked="0" hidden="0"/>
    </xf>
    <xf numFmtId="4" fontId="11" fillId="8" borderId="49" applyAlignment="1" applyProtection="1" pivotButton="0" quotePrefix="0" xfId="0">
      <alignment horizontal="center" vertical="center"/>
      <protection locked="0" hidden="0"/>
    </xf>
    <xf numFmtId="0" fontId="22" fillId="6" borderId="16" applyProtection="1" pivotButton="0" quotePrefix="0" xfId="0">
      <protection locked="0" hidden="0"/>
    </xf>
    <xf numFmtId="0" fontId="22" fillId="6" borderId="13" applyProtection="1" pivotButton="0" quotePrefix="0" xfId="0">
      <protection locked="0" hidden="0"/>
    </xf>
    <xf numFmtId="165" fontId="11" fillId="6" borderId="10" applyAlignment="1" pivotButton="0" quotePrefix="0" xfId="5">
      <alignment horizontal="center" vertical="center"/>
    </xf>
    <xf numFmtId="0" fontId="11" fillId="6" borderId="0" applyAlignment="1" applyProtection="1" pivotButton="0" quotePrefix="0" xfId="0">
      <alignment horizontal="center" vertical="center"/>
      <protection locked="0" hidden="0"/>
    </xf>
    <xf numFmtId="0" fontId="11" fillId="6" borderId="42" applyProtection="1" pivotButton="0" quotePrefix="0" xfId="0">
      <protection locked="0" hidden="0"/>
    </xf>
    <xf numFmtId="4" fontId="11" fillId="6" borderId="5" applyAlignment="1" applyProtection="1" pivotButton="0" quotePrefix="0" xfId="0">
      <alignment horizontal="center" vertical="center"/>
      <protection locked="0" hidden="0"/>
    </xf>
    <xf numFmtId="4" fontId="11" fillId="8" borderId="29" applyAlignment="1" applyProtection="1" pivotButton="0" quotePrefix="0" xfId="0">
      <alignment horizontal="center" vertical="center"/>
      <protection locked="0" hidden="0"/>
    </xf>
    <xf numFmtId="0" fontId="22" fillId="6" borderId="39" applyProtection="1" pivotButton="0" quotePrefix="0" xfId="0">
      <protection locked="0" hidden="0"/>
    </xf>
    <xf numFmtId="165" fontId="11" fillId="6" borderId="11" applyAlignment="1" pivotButton="0" quotePrefix="0" xfId="5">
      <alignment horizontal="center" vertical="center"/>
    </xf>
    <xf numFmtId="0" fontId="11" fillId="6" borderId="41" applyProtection="1" pivotButton="0" quotePrefix="0" xfId="0">
      <protection locked="0" hidden="0"/>
    </xf>
    <xf numFmtId="0" fontId="22" fillId="11" borderId="37" applyProtection="1" pivotButton="0" quotePrefix="0" xfId="0">
      <protection locked="0" hidden="0"/>
    </xf>
    <xf numFmtId="0" fontId="22" fillId="11" borderId="38" applyProtection="1" pivotButton="0" quotePrefix="0" xfId="0">
      <protection locked="0" hidden="0"/>
    </xf>
    <xf numFmtId="0" fontId="22" fillId="5" borderId="13" applyProtection="1" pivotButton="0" quotePrefix="0" xfId="0">
      <protection locked="0" hidden="0"/>
    </xf>
    <xf numFmtId="0" fontId="22" fillId="5" borderId="39" applyProtection="1" pivotButton="0" quotePrefix="0" xfId="0">
      <protection locked="0" hidden="0"/>
    </xf>
    <xf numFmtId="0" fontId="22" fillId="14" borderId="16" applyProtection="1" pivotButton="0" quotePrefix="0" xfId="0">
      <protection locked="0" hidden="0"/>
    </xf>
    <xf numFmtId="0" fontId="22" fillId="14" borderId="37" applyProtection="1" pivotButton="0" quotePrefix="0" xfId="0">
      <protection locked="0" hidden="0"/>
    </xf>
    <xf numFmtId="165" fontId="11" fillId="14" borderId="17" applyAlignment="1" pivotButton="0" quotePrefix="0" xfId="5">
      <alignment horizontal="center" vertical="center"/>
    </xf>
    <xf numFmtId="0" fontId="11" fillId="14" borderId="18" applyAlignment="1" applyProtection="1" pivotButton="0" quotePrefix="0" xfId="0">
      <alignment horizontal="center" vertical="center"/>
      <protection locked="0" hidden="0"/>
    </xf>
    <xf numFmtId="0" fontId="11" fillId="14" borderId="14" applyProtection="1" pivotButton="0" quotePrefix="0" xfId="0">
      <protection locked="0" hidden="0"/>
    </xf>
    <xf numFmtId="4" fontId="11" fillId="14" borderId="5" applyAlignment="1" applyProtection="1" pivotButton="0" quotePrefix="0" xfId="0">
      <alignment horizontal="center" vertical="center"/>
      <protection locked="0" hidden="0"/>
    </xf>
    <xf numFmtId="0" fontId="22" fillId="14" borderId="38" applyProtection="1" pivotButton="0" quotePrefix="0" xfId="0">
      <protection locked="0" hidden="0"/>
    </xf>
    <xf numFmtId="165" fontId="11" fillId="14" borderId="20" applyAlignment="1" pivotButton="0" quotePrefix="0" xfId="5">
      <alignment horizontal="center" vertical="center"/>
    </xf>
    <xf numFmtId="0" fontId="11" fillId="14" borderId="21" applyAlignment="1" applyProtection="1" pivotButton="0" quotePrefix="0" xfId="0">
      <alignment horizontal="center" vertical="center"/>
      <protection locked="0" hidden="0"/>
    </xf>
    <xf numFmtId="0" fontId="22" fillId="15" borderId="16" applyProtection="1" pivotButton="0" quotePrefix="0" xfId="0">
      <protection locked="0" hidden="0"/>
    </xf>
    <xf numFmtId="0" fontId="22" fillId="15" borderId="13" applyProtection="1" pivotButton="0" quotePrefix="0" xfId="0">
      <protection locked="0" hidden="0"/>
    </xf>
    <xf numFmtId="165" fontId="11" fillId="15" borderId="10" applyAlignment="1" pivotButton="0" quotePrefix="0" xfId="5">
      <alignment horizontal="center" vertical="center"/>
    </xf>
    <xf numFmtId="0" fontId="11" fillId="15" borderId="0" applyAlignment="1" applyProtection="1" pivotButton="0" quotePrefix="0" xfId="0">
      <alignment horizontal="center" vertical="center"/>
      <protection locked="0" hidden="0"/>
    </xf>
    <xf numFmtId="0" fontId="11" fillId="15" borderId="42" applyProtection="1" pivotButton="0" quotePrefix="0" xfId="0">
      <protection locked="0" hidden="0"/>
    </xf>
    <xf numFmtId="4" fontId="11" fillId="15" borderId="5" applyAlignment="1" applyProtection="1" pivotButton="0" quotePrefix="0" xfId="0">
      <alignment horizontal="center" vertical="center"/>
      <protection locked="0" hidden="0"/>
    </xf>
    <xf numFmtId="0" fontId="22" fillId="15" borderId="39" applyProtection="1" pivotButton="0" quotePrefix="0" xfId="0">
      <protection locked="0" hidden="0"/>
    </xf>
    <xf numFmtId="165" fontId="11" fillId="15" borderId="11" applyAlignment="1" pivotButton="0" quotePrefix="0" xfId="5">
      <alignment horizontal="center" vertical="center"/>
    </xf>
    <xf numFmtId="0" fontId="11" fillId="15" borderId="41" applyProtection="1" pivotButton="0" quotePrefix="0" xfId="0">
      <protection locked="0" hidden="0"/>
    </xf>
    <xf numFmtId="0" fontId="22" fillId="7" borderId="16" applyProtection="1" pivotButton="0" quotePrefix="0" xfId="0">
      <protection locked="0" hidden="0"/>
    </xf>
    <xf numFmtId="0" fontId="22" fillId="7" borderId="37" applyProtection="1" pivotButton="0" quotePrefix="0" xfId="0">
      <protection locked="0" hidden="0"/>
    </xf>
    <xf numFmtId="165" fontId="11" fillId="7" borderId="24" applyAlignment="1" pivotButton="0" quotePrefix="0" xfId="5">
      <alignment horizontal="center" vertical="center"/>
    </xf>
    <xf numFmtId="0" fontId="11" fillId="7" borderId="18" applyAlignment="1" applyProtection="1" pivotButton="0" quotePrefix="0" xfId="0">
      <alignment horizontal="center" vertical="center"/>
      <protection locked="0" hidden="0"/>
    </xf>
    <xf numFmtId="0" fontId="11" fillId="7" borderId="14" applyProtection="1" pivotButton="0" quotePrefix="0" xfId="0">
      <protection locked="0" hidden="0"/>
    </xf>
    <xf numFmtId="4" fontId="11" fillId="7" borderId="5" applyAlignment="1" applyProtection="1" pivotButton="0" quotePrefix="0" xfId="0">
      <alignment horizontal="center" vertical="center"/>
      <protection locked="0" hidden="0"/>
    </xf>
    <xf numFmtId="2" fontId="11" fillId="7" borderId="24" applyAlignment="1" pivotButton="0" quotePrefix="0" xfId="0">
      <alignment horizontal="center" vertical="center"/>
    </xf>
    <xf numFmtId="0" fontId="22" fillId="7" borderId="38" applyProtection="1" pivotButton="0" quotePrefix="0" xfId="0">
      <protection locked="0" hidden="0"/>
    </xf>
    <xf numFmtId="165" fontId="11" fillId="7" borderId="20" applyAlignment="1" pivotButton="0" quotePrefix="0" xfId="5">
      <alignment horizontal="center" vertical="center"/>
    </xf>
    <xf numFmtId="0" fontId="11" fillId="7" borderId="20" applyAlignment="1" applyProtection="1" pivotButton="0" quotePrefix="0" xfId="0">
      <alignment horizontal="center" vertical="center"/>
      <protection locked="0" hidden="0"/>
    </xf>
    <xf numFmtId="166" fontId="14" fillId="8" borderId="40" applyAlignment="1" applyProtection="1" pivotButton="0" quotePrefix="0" xfId="0">
      <alignment horizontal="left" vertical="center"/>
      <protection locked="0" hidden="0"/>
    </xf>
    <xf numFmtId="0" fontId="11" fillId="8" borderId="0" applyAlignment="1" applyProtection="1" pivotButton="0" quotePrefix="0" xfId="0">
      <alignment horizontal="center" vertical="center"/>
      <protection locked="0" hidden="0"/>
    </xf>
    <xf numFmtId="4" fontId="11" fillId="8" borderId="0" applyAlignment="1" applyProtection="1" pivotButton="0" quotePrefix="0" xfId="0">
      <alignment horizontal="center" vertical="center"/>
      <protection locked="0" hidden="0"/>
    </xf>
    <xf numFmtId="0" fontId="22" fillId="5" borderId="36" applyProtection="1" pivotButton="0" quotePrefix="0" xfId="0">
      <protection locked="0" hidden="0"/>
    </xf>
    <xf numFmtId="165" fontId="11" fillId="5" borderId="5" applyAlignment="1" pivotButton="0" quotePrefix="0" xfId="5">
      <alignment horizontal="center" vertical="center"/>
    </xf>
    <xf numFmtId="0" fontId="11" fillId="5" borderId="5" applyAlignment="1" applyProtection="1" pivotButton="0" quotePrefix="0" xfId="0">
      <alignment horizontal="center" vertical="center"/>
      <protection locked="0" hidden="0"/>
    </xf>
    <xf numFmtId="0" fontId="11" fillId="5" borderId="14" applyProtection="1" pivotButton="0" quotePrefix="0" xfId="0">
      <protection locked="0" hidden="0"/>
    </xf>
    <xf numFmtId="165" fontId="11" fillId="5" borderId="27" applyAlignment="1" pivotButton="0" quotePrefix="0" xfId="5">
      <alignment horizontal="center" vertical="center"/>
    </xf>
    <xf numFmtId="0" fontId="22" fillId="6" borderId="37" applyProtection="1" pivotButton="0" quotePrefix="0" xfId="0">
      <protection locked="0" hidden="0"/>
    </xf>
    <xf numFmtId="165" fontId="11" fillId="6" borderId="17" applyAlignment="1" pivotButton="0" quotePrefix="0" xfId="5">
      <alignment horizontal="center" vertical="center"/>
    </xf>
    <xf numFmtId="0" fontId="11" fillId="6" borderId="18" applyAlignment="1" applyProtection="1" pivotButton="0" quotePrefix="0" xfId="0">
      <alignment horizontal="center" vertical="center"/>
      <protection locked="0" hidden="0"/>
    </xf>
    <xf numFmtId="0" fontId="11" fillId="6" borderId="14" applyProtection="1" pivotButton="0" quotePrefix="0" xfId="0">
      <protection locked="0" hidden="0"/>
    </xf>
    <xf numFmtId="0" fontId="22" fillId="6" borderId="48" applyProtection="1" pivotButton="0" quotePrefix="0" xfId="0">
      <protection locked="0" hidden="0"/>
    </xf>
    <xf numFmtId="165" fontId="11" fillId="6" borderId="20" applyAlignment="1" pivotButton="0" quotePrefix="0" xfId="5">
      <alignment horizontal="center" vertical="center"/>
    </xf>
    <xf numFmtId="0" fontId="11" fillId="6" borderId="21" applyAlignment="1" applyProtection="1" pivotButton="0" quotePrefix="0" xfId="0">
      <alignment horizontal="center" vertical="center"/>
      <protection locked="0" hidden="0"/>
    </xf>
    <xf numFmtId="2" fontId="11" fillId="6" borderId="27" applyAlignment="1" pivotButton="0" quotePrefix="0" xfId="0">
      <alignment horizontal="center" vertical="center"/>
    </xf>
    <xf numFmtId="0" fontId="0" fillId="0" borderId="14" applyProtection="1" pivotButton="0" quotePrefix="0" xfId="0">
      <protection locked="0" hidden="0"/>
    </xf>
    <xf numFmtId="0" fontId="11" fillId="0" borderId="42" applyProtection="1" pivotButton="0" quotePrefix="0" xfId="0">
      <protection locked="0" hidden="0"/>
    </xf>
    <xf numFmtId="0" fontId="11" fillId="0" borderId="21" applyProtection="1" pivotButton="0" quotePrefix="0" xfId="0">
      <protection locked="0" hidden="0"/>
    </xf>
    <xf numFmtId="0" fontId="11" fillId="0" borderId="12" applyAlignment="1" applyProtection="1" pivotButton="0" quotePrefix="0" xfId="0">
      <alignment vertical="center"/>
      <protection locked="0" hidden="0"/>
    </xf>
    <xf numFmtId="0" fontId="11" fillId="0" borderId="20" applyAlignment="1" applyProtection="1" pivotButton="0" quotePrefix="0" xfId="0">
      <alignment horizontal="right" vertical="center"/>
      <protection locked="0" hidden="0"/>
    </xf>
    <xf numFmtId="0" fontId="11" fillId="0" borderId="28" applyAlignment="1" applyProtection="1" pivotButton="0" quotePrefix="0" xfId="0">
      <alignment horizontal="right" vertical="center"/>
      <protection locked="0" hidden="0"/>
    </xf>
    <xf numFmtId="4" fontId="16" fillId="8" borderId="0" applyAlignment="1" applyProtection="1" pivotButton="0" quotePrefix="0" xfId="2">
      <alignment horizontal="right" vertical="center"/>
      <protection locked="0" hidden="0"/>
    </xf>
    <xf numFmtId="0" fontId="11" fillId="8" borderId="0" applyProtection="1" pivotButton="0" quotePrefix="0" xfId="0">
      <protection locked="0" hidden="0"/>
    </xf>
    <xf numFmtId="0" fontId="14" fillId="8" borderId="0" applyAlignment="1" applyProtection="1" pivotButton="0" quotePrefix="0" xfId="0">
      <alignment horizontal="right" vertical="center"/>
      <protection locked="0" hidden="0"/>
    </xf>
    <xf numFmtId="0" fontId="18" fillId="0" borderId="0" applyAlignment="1" applyProtection="1" pivotButton="0" quotePrefix="0" xfId="0">
      <alignment horizontal="right" vertical="center"/>
      <protection locked="0" hidden="0"/>
    </xf>
    <xf numFmtId="0" fontId="4" fillId="0" borderId="0" applyProtection="1" pivotButton="0" quotePrefix="0" xfId="0">
      <protection locked="0" hidden="0"/>
    </xf>
    <xf numFmtId="4" fontId="24" fillId="0" borderId="0" applyAlignment="1" applyProtection="1" pivotButton="0" quotePrefix="0" xfId="2">
      <alignment horizontal="right" vertical="center"/>
      <protection locked="0" hidden="0"/>
    </xf>
    <xf numFmtId="0" fontId="0" fillId="0" borderId="50" applyAlignment="1" applyProtection="1" pivotButton="0" quotePrefix="0" xfId="0">
      <alignment horizontal="center" vertical="center" wrapText="1"/>
      <protection locked="0" hidden="0"/>
    </xf>
    <xf numFmtId="0" fontId="24" fillId="0" borderId="50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24" fillId="0" borderId="51" applyAlignment="1" applyProtection="1" pivotButton="0" quotePrefix="0" xfId="0">
      <alignment horizontal="left" vertical="center" wrapText="1"/>
      <protection locked="0" hidden="0"/>
    </xf>
    <xf numFmtId="0" fontId="0" fillId="0" borderId="51" applyProtection="1" pivotButton="0" quotePrefix="0" xfId="0">
      <protection locked="0" hidden="0"/>
    </xf>
    <xf numFmtId="0" fontId="24" fillId="0" borderId="51" applyProtection="1" pivotButton="0" quotePrefix="0" xfId="0">
      <protection locked="0" hidden="0"/>
    </xf>
    <xf numFmtId="0" fontId="27" fillId="0" borderId="0" pivotButton="0" quotePrefix="0" xfId="0"/>
    <xf numFmtId="0" fontId="28" fillId="0" borderId="0" applyAlignment="1" applyProtection="1" pivotButton="0" quotePrefix="0" xfId="0">
      <alignment horizontal="right"/>
      <protection locked="0" hidden="0"/>
    </xf>
    <xf numFmtId="0" fontId="29" fillId="0" borderId="0" applyProtection="1" pivotButton="0" quotePrefix="0" xfId="0">
      <protection locked="0" hidden="0"/>
    </xf>
    <xf numFmtId="0" fontId="30" fillId="0" borderId="0" applyProtection="1" pivotButton="0" quotePrefix="0" xfId="0">
      <protection locked="0" hidden="0"/>
    </xf>
    <xf numFmtId="0" fontId="28" fillId="0" borderId="0" applyProtection="1" pivotButton="0" quotePrefix="0" xfId="0">
      <protection locked="0" hidden="0"/>
    </xf>
    <xf numFmtId="0" fontId="31" fillId="0" borderId="0" applyProtection="1" pivotButton="0" quotePrefix="0" xfId="0">
      <protection locked="0" hidden="0"/>
    </xf>
    <xf numFmtId="0" fontId="32" fillId="0" borderId="0" pivotButton="0" quotePrefix="0" xfId="0"/>
    <xf numFmtId="0" fontId="28" fillId="0" borderId="0" pivotButton="0" quotePrefix="0" xfId="0"/>
    <xf numFmtId="0" fontId="33" fillId="0" borderId="0" pivotButton="0" quotePrefix="0" xfId="0"/>
    <xf numFmtId="0" fontId="31" fillId="0" borderId="0" pivotButton="0" quotePrefix="0" xfId="0"/>
    <xf numFmtId="0" fontId="0" fillId="0" borderId="54" applyAlignment="1" pivotButton="0" quotePrefix="0" xfId="0">
      <alignment horizontal="center"/>
    </xf>
    <xf numFmtId="0" fontId="0" fillId="0" borderId="54" pivotButton="0" quotePrefix="0" xfId="0"/>
    <xf numFmtId="0" fontId="37" fillId="0" borderId="0" pivotButton="0" quotePrefix="0" xfId="0"/>
    <xf numFmtId="0" fontId="38" fillId="0" borderId="0" pivotButton="0" quotePrefix="0" xfId="0"/>
    <xf numFmtId="0" fontId="36" fillId="17" borderId="54" applyAlignment="1" pivotButton="0" quotePrefix="0" xfId="0">
      <alignment horizontal="center" wrapText="1"/>
    </xf>
    <xf numFmtId="0" fontId="39" fillId="0" borderId="0" pivotButton="0" quotePrefix="0" xfId="0"/>
    <xf numFmtId="0" fontId="28" fillId="0" borderId="54" applyProtection="1" pivotButton="0" quotePrefix="0" xfId="0">
      <protection locked="0" hidden="0"/>
    </xf>
    <xf numFmtId="0" fontId="0" fillId="0" borderId="54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35" fillId="0" borderId="0" pivotButton="0" quotePrefix="0" xfId="0"/>
    <xf numFmtId="0" fontId="28" fillId="0" borderId="0" pivotButton="0" quotePrefix="0" xfId="0"/>
    <xf numFmtId="0" fontId="34" fillId="0" borderId="0" pivotButton="0" quotePrefix="0" xfId="0"/>
    <xf numFmtId="0" fontId="26" fillId="0" borderId="51" applyAlignment="1" applyProtection="1" pivotButton="0" quotePrefix="0" xfId="0">
      <alignment horizontal="center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0" fillId="0" borderId="51" applyAlignment="1" applyProtection="1" pivotButton="0" quotePrefix="0" xfId="0">
      <alignment horizontal="left" vertical="center" wrapText="1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1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6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left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0" fontId="11" fillId="0" borderId="29" applyAlignment="1" applyProtection="1" pivotButton="0" quotePrefix="0" xfId="0">
      <alignment horizontal="center"/>
      <protection locked="0" hidden="0"/>
    </xf>
    <xf numFmtId="0" fontId="0" fillId="0" borderId="29" applyProtection="1" pivotButton="0" quotePrefix="0" xfId="0">
      <protection locked="0" hidden="0"/>
    </xf>
    <xf numFmtId="0" fontId="11" fillId="0" borderId="12" applyAlignment="1" applyProtection="1" pivotButton="0" quotePrefix="0" xfId="0">
      <alignment horizontal="center"/>
      <protection locked="0" hidden="0"/>
    </xf>
    <xf numFmtId="0" fontId="0" fillId="0" borderId="15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right" vertical="center"/>
      <protection locked="0" hidden="0"/>
    </xf>
    <xf numFmtId="0" fontId="11" fillId="0" borderId="2" applyAlignment="1" applyProtection="1" pivotButton="0" quotePrefix="0" xfId="0">
      <alignment horizontal="left"/>
      <protection locked="0" hidden="0"/>
    </xf>
    <xf numFmtId="0" fontId="0" fillId="0" borderId="2" applyProtection="1" pivotButton="0" quotePrefix="0" xfId="0">
      <protection locked="0" hidden="0"/>
    </xf>
    <xf numFmtId="0" fontId="19" fillId="4" borderId="12" applyAlignment="1" applyProtection="1" pivotButton="0" quotePrefix="0" xfId="0">
      <alignment horizontal="center" vertical="center"/>
      <protection locked="0" hidden="0"/>
    </xf>
    <xf numFmtId="0" fontId="0" fillId="0" borderId="30" applyProtection="1" pivotButton="0" quotePrefix="0" xfId="0">
      <protection locked="0" hidden="0"/>
    </xf>
    <xf numFmtId="168" fontId="7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14" fontId="16" fillId="0" borderId="2" applyAlignment="1" applyProtection="1" pivotButton="0" quotePrefix="0" xfId="0">
      <alignment horizontal="right"/>
      <protection locked="0" hidden="0"/>
    </xf>
    <xf numFmtId="14" fontId="14" fillId="0" borderId="2" applyAlignment="1" applyProtection="1" pivotButton="0" quotePrefix="0" xfId="0">
      <alignment horizontal="left" indent="1"/>
      <protection locked="0" hidden="0"/>
    </xf>
    <xf numFmtId="0" fontId="11" fillId="9" borderId="5" applyAlignment="1" applyProtection="1" pivotButton="0" quotePrefix="0" xfId="0">
      <alignment horizontal="center"/>
      <protection locked="0" hidden="0"/>
    </xf>
    <xf numFmtId="0" fontId="0" fillId="0" borderId="9" applyProtection="1" pivotButton="0" quotePrefix="0" xfId="0">
      <protection locked="0" hidden="0"/>
    </xf>
    <xf numFmtId="0" fontId="11" fillId="10" borderId="10" applyAlignment="1" applyProtection="1" pivotButton="0" quotePrefix="0" xfId="0">
      <alignment horizontal="center"/>
      <protection locked="0" hidden="0"/>
    </xf>
    <xf numFmtId="0" fontId="0" fillId="0" borderId="32" applyProtection="1" pivotButton="0" quotePrefix="0" xfId="0">
      <protection locked="0" hidden="0"/>
    </xf>
    <xf numFmtId="0" fontId="11" fillId="8" borderId="0" applyAlignment="1" applyProtection="1" pivotButton="0" quotePrefix="0" xfId="0">
      <alignment horizontal="center"/>
      <protection locked="0" hidden="0"/>
    </xf>
    <xf numFmtId="169" fontId="17" fillId="8" borderId="0" applyAlignment="1" applyProtection="1" pivotButton="0" quotePrefix="0" xfId="2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/>
      <protection locked="0" hidden="0"/>
    </xf>
    <xf numFmtId="0" fontId="16" fillId="0" borderId="2" applyAlignment="1" applyProtection="1" pivotButton="0" quotePrefix="0" xfId="0">
      <alignment horizontal="right"/>
      <protection locked="0" hidden="0"/>
    </xf>
    <xf numFmtId="0" fontId="0" fillId="0" borderId="0" applyAlignment="1" pivotButton="0" quotePrefix="0" xfId="0">
      <alignment wrapText="1"/>
    </xf>
    <xf numFmtId="169" fontId="17" fillId="8" borderId="0" applyAlignment="1" applyProtection="1" pivotButton="0" quotePrefix="0" xfId="2">
      <alignment horizontal="center" vertical="center"/>
      <protection locked="0" hidden="0"/>
    </xf>
  </cellXfs>
  <cellStyles count="6">
    <cellStyle name="Normal" xfId="0" builtinId="0"/>
    <cellStyle name="Comma" xfId="1" builtinId="3"/>
    <cellStyle name="Currency" xfId="2" builtinId="4"/>
    <cellStyle name="Hyperlink" xfId="3" builtinId="8"/>
    <cellStyle name="Normal 2" xfId="4"/>
    <cellStyle name="Normal_Sheet1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99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FF3"/>
      <rgbColor rgb="001849B5"/>
      <rgbColor rgb="0036ACA2"/>
      <rgbColor rgb="00F0BA00"/>
      <rgbColor rgb="00BCD5E1"/>
      <rgbColor rgb="0083B3C9"/>
      <rgbColor rgb="00346378"/>
      <rgbColor rgb="0087533B"/>
      <rgbColor rgb="00C0C0C0"/>
      <rgbColor rgb="00003366"/>
      <rgbColor rgb="00109618"/>
      <rgbColor rgb="00085108"/>
      <rgbColor rgb="00635100"/>
      <rgbColor rgb="0023414F"/>
      <rgbColor rgb="00E1C8BC"/>
      <rgbColor rgb="005937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Timesheet With Break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46378"/>
      </a:accent1>
      <a:accent2>
        <a:srgbClr val="B04340"/>
      </a:accent2>
      <a:accent3>
        <a:srgbClr val="405BB0"/>
      </a:accent3>
      <a:accent4>
        <a:srgbClr val="40B04D"/>
      </a:accent4>
      <a:accent5>
        <a:srgbClr val="7860B4"/>
      </a:accent5>
      <a:accent6>
        <a:srgbClr val="B07540"/>
      </a:accent6>
      <a:hlink>
        <a:srgbClr val="0000FF"/>
      </a:hlink>
      <a:folHlink>
        <a:srgbClr val="800080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:N1"/>
    </sheetView>
  </sheetViews>
  <sheetFormatPr baseColWidth="8" defaultRowHeight="15"/>
  <cols>
    <col width="4" customWidth="1" style="328" min="1" max="1"/>
    <col width="30" customWidth="1" style="328" min="2" max="2"/>
    <col width="8" customWidth="1" style="328" min="3" max="3"/>
    <col width="9" customWidth="1" style="328" min="4" max="4"/>
    <col width="8" customWidth="1" style="328" min="5" max="5"/>
    <col width="9" customWidth="1" style="328" min="6" max="7"/>
    <col width="8" customWidth="1" style="328" min="8" max="9"/>
    <col width="9" customWidth="1" style="328" min="10" max="11"/>
    <col width="8" customWidth="1" style="328" min="12" max="12"/>
    <col width="10" customWidth="1" style="328" min="13" max="13"/>
    <col width="16" customWidth="1" style="328" min="14" max="14"/>
  </cols>
  <sheetData>
    <row r="1" ht="18.75" customHeight="1" s="328">
      <c r="A1" s="331" t="inlineStr">
        <is>
          <t>📊 WORK HOURS SUMMARY</t>
        </is>
      </c>
    </row>
    <row r="2">
      <c r="A2" s="329" t="inlineStr">
        <is>
          <t>Pay Period: 1-15/16 Jan 2026 | Total Employees: 11</t>
        </is>
      </c>
    </row>
    <row r="4" ht="33" customHeight="1" s="328">
      <c r="A4" s="324" t="inlineStr">
        <is>
          <t>#</t>
        </is>
      </c>
      <c r="B4" s="324" t="inlineStr">
        <is>
          <t>Employee Name</t>
        </is>
      </c>
      <c r="C4" s="324" t="inlineStr">
        <is>
          <t>Emp #</t>
        </is>
      </c>
      <c r="D4" s="324" t="inlineStr">
        <is>
          <t>Total Hrs</t>
        </is>
      </c>
      <c r="E4" s="324" t="inlineStr">
        <is>
          <t>Days Wkd</t>
        </is>
      </c>
      <c r="F4" s="324" t="inlineStr">
        <is>
          <t>Daily &gt;12</t>
        </is>
      </c>
      <c r="G4" s="324" t="inlineStr">
        <is>
          <t>Wkly &gt;60</t>
        </is>
      </c>
      <c r="H4" s="324" t="inlineStr">
        <is>
          <t>7+ Days</t>
        </is>
      </c>
      <c r="I4" s="324" t="inlineStr">
        <is>
          <t>OT &gt;40</t>
        </is>
      </c>
      <c r="J4" s="324" t="inlineStr">
        <is>
          <t>Wkly &lt;40</t>
        </is>
      </c>
      <c r="K4" s="324" t="inlineStr">
        <is>
          <t>Daily &lt;8</t>
        </is>
      </c>
      <c r="L4" s="324" t="inlineStr">
        <is>
          <t>Days &lt;5</t>
        </is>
      </c>
      <c r="M4" s="324" t="inlineStr">
        <is>
          <t>Period &lt;80</t>
        </is>
      </c>
      <c r="N4" s="324" t="inlineStr">
        <is>
          <t>STATUS</t>
        </is>
      </c>
    </row>
    <row r="5">
      <c r="A5" s="320" t="n">
        <v>1</v>
      </c>
      <c r="B5" s="321" t="inlineStr">
        <is>
          <t>Barnes, Mauva</t>
        </is>
      </c>
      <c r="C5" s="320" t="inlineStr">
        <is>
          <t>0118</t>
        </is>
      </c>
      <c r="D5" s="320">
        <f>'Barnes, Mauva'!I49</f>
        <v/>
      </c>
      <c r="E5" s="320">
        <f>'Barnes, Mauva'!Q50</f>
        <v/>
      </c>
      <c r="F5" s="320">
        <f>SUMPRODUCT((('Barnes, Mauva'!I14+'Barnes, Mauva'!I15)&gt;12)*1)+SUMPRODUCT((('Barnes, Mauva'!I16+'Barnes, Mauva'!I17)&gt;12)*1)+SUMPRODUCT((('Barnes, Mauva'!I18+'Barnes, Mauva'!I19)&gt;12)*1)+SUMPRODUCT((('Barnes, Mauva'!I20+'Barnes, Mauva'!I21)&gt;12)*1)+SUMPRODUCT((('Barnes, Mauva'!I22+'Barnes, Mauva'!I23)&gt;12)*1)+SUMPRODUCT((('Barnes, Mauva'!I24+'Barnes, Mauva'!I25)&gt;12)*1)+SUMPRODUCT((('Barnes, Mauva'!I26+'Barnes, Mauva'!I27)&gt;12)*1)+SUMPRODUCT((('Barnes, Mauva'!I30+'Barnes, Mauva'!I31)&gt;12)*1)+SUMPRODUCT((('Barnes, Mauva'!I32+'Barnes, Mauva'!I33)&gt;12)*1)+SUMPRODUCT((('Barnes, Mauva'!I34+'Barnes, Mauva'!I35)&gt;12)*1)+SUMPRODUCT((('Barnes, Mauva'!I36+'Barnes, Mauva'!I37)&gt;12)*1)+SUMPRODUCT((('Barnes, Mauva'!I38+'Barnes, Mauva'!I39)&gt;12)*1)+SUMPRODUCT((('Barnes, Mauva'!I40+'Barnes, Mauva'!I41)&gt;12)*1)+SUMPRODUCT((('Barnes, Mauva'!I42+'Barnes, Mauva'!I43)&gt;12)*1)+SUMPRODUCT((('Barnes, Mauva'!I45+'Barnes, Mauva'!I46)&gt;12)*1)+SUMPRODUCT((('Barnes, Mauva'!I47+'Barnes, Mauva'!I48)&gt;12)*1)</f>
        <v/>
      </c>
      <c r="G5" s="320">
        <f>IF(MAX(SUM('Barnes, Mauva'!I14:I27),SUM('Barnes, Mauva'!I30:I43))&gt;60,"Yes","")</f>
        <v/>
      </c>
      <c r="H5" s="320">
        <f>IF(OR(AND(('Barnes, Mauva'!I14+'Barnes, Mauva'!I15)&gt;0,('Barnes, Mauva'!I16+'Barnes, Mauva'!I17)&gt;0,('Barnes, Mauva'!I18+'Barnes, Mauva'!I19)&gt;0,('Barnes, Mauva'!I20+'Barnes, Mauva'!I21)&gt;0,('Barnes, Mauva'!I22+'Barnes, Mauva'!I23)&gt;0,('Barnes, Mauva'!I24+'Barnes, Mauva'!I25)&gt;0,('Barnes, Mauva'!I26+'Barnes, Mauva'!I27)&gt;0),AND(('Barnes, Mauva'!I30+'Barnes, Mauva'!I31)&gt;0,('Barnes, Mauva'!I32+'Barnes, Mauva'!I33)&gt;0,('Barnes, Mauva'!I34+'Barnes, Mauva'!I35)&gt;0,('Barnes, Mauva'!I36+'Barnes, Mauva'!I37)&gt;0,('Barnes, Mauva'!I38+'Barnes, Mauva'!I39)&gt;0,('Barnes, Mauva'!I40+'Barnes, Mauva'!I41)&gt;0,('Barnes, Mauva'!I42+'Barnes, Mauva'!I43)&gt;0)),"Yes","")</f>
        <v/>
      </c>
      <c r="I5" s="320">
        <f>IF('Barnes, Mauva'!N49&gt;40,"Yes","")</f>
        <v/>
      </c>
      <c r="J5" s="320">
        <f>IF(OR(AND(SUM('Barnes, Mauva'!I14:I27)&gt;0,SUM('Barnes, Mauva'!I14:I27)&lt;40),AND(SUM('Barnes, Mauva'!I30:I43)&gt;0,SUM('Barnes, Mauva'!I30:I43)&lt;40)),"Yes","")</f>
        <v/>
      </c>
      <c r="K5" s="320">
        <f>SUMPRODUCT(('Barnes, Mauva'!I14:I48&gt;0)*('Barnes, Mauva'!I14:I48&lt;8))</f>
        <v/>
      </c>
      <c r="L5" s="320">
        <f>IF('Barnes, Mauva'!Q50&lt;5,"Yes","")</f>
        <v/>
      </c>
      <c r="M5" s="320">
        <f>IF(AND('Barnes, Mauva'!I49&gt;0,'Barnes, Mauva'!I49&lt;80),"Yes","")</f>
        <v/>
      </c>
      <c r="N5" s="320">
        <f>IF(OR(F5&gt;0,G5="Yes",H5="Yes",I5="Yes"),"⚠️ OVERWORK",IF(OR(J5="Yes",K5&gt;0,L5="Yes",M5="Yes"),"🔻 UNDERWORK","✓ OK"))</f>
        <v/>
      </c>
    </row>
    <row r="6">
      <c r="A6" s="320" t="n">
        <v>2</v>
      </c>
      <c r="B6" s="321" t="inlineStr">
        <is>
          <t>Browne, Francianna Milissa</t>
        </is>
      </c>
      <c r="C6" s="320" t="inlineStr">
        <is>
          <t>2234</t>
        </is>
      </c>
      <c r="D6" s="320">
        <f>'Browne, Francianna Milissa'!I49</f>
        <v/>
      </c>
      <c r="E6" s="320">
        <f>'Browne, Francianna Milissa'!Q50</f>
        <v/>
      </c>
      <c r="F6" s="320">
        <f>SUMPRODUCT((('Browne, Francianna Milissa'!I14+'Browne, Francianna Milissa'!I15)&gt;12)*1)+SUMPRODUCT((('Browne, Francianna Milissa'!I16+'Browne, Francianna Milissa'!I17)&gt;12)*1)+SUMPRODUCT((('Browne, Francianna Milissa'!I18+'Browne, Francianna Milissa'!I19)&gt;12)*1)+SUMPRODUCT((('Browne, Francianna Milissa'!I20+'Browne, Francianna Milissa'!I21)&gt;12)*1)+SUMPRODUCT((('Browne, Francianna Milissa'!I22+'Browne, Francianna Milissa'!I23)&gt;12)*1)+SUMPRODUCT((('Browne, Francianna Milissa'!I24+'Browne, Francianna Milissa'!I25)&gt;12)*1)+SUMPRODUCT((('Browne, Francianna Milissa'!I26+'Browne, Francianna Milissa'!I27)&gt;12)*1)+SUMPRODUCT((('Browne, Francianna Milissa'!I30+'Browne, Francianna Milissa'!I31)&gt;12)*1)+SUMPRODUCT((('Browne, Francianna Milissa'!I32+'Browne, Francianna Milissa'!I33)&gt;12)*1)+SUMPRODUCT((('Browne, Francianna Milissa'!I34+'Browne, Francianna Milissa'!I35)&gt;12)*1)+SUMPRODUCT((('Browne, Francianna Milissa'!I36+'Browne, Francianna Milissa'!I37)&gt;12)*1)+SUMPRODUCT((('Browne, Francianna Milissa'!I38+'Browne, Francianna Milissa'!I39)&gt;12)*1)+SUMPRODUCT((('Browne, Francianna Milissa'!I40+'Browne, Francianna Milissa'!I41)&gt;12)*1)+SUMPRODUCT((('Browne, Francianna Milissa'!I42+'Browne, Francianna Milissa'!I43)&gt;12)*1)+SUMPRODUCT((('Browne, Francianna Milissa'!I45+'Browne, Francianna Milissa'!I46)&gt;12)*1)+SUMPRODUCT((('Browne, Francianna Milissa'!I47+'Browne, Francianna Milissa'!I48)&gt;12)*1)</f>
        <v/>
      </c>
      <c r="G6" s="320">
        <f>IF(MAX(SUM('Browne, Francianna Milissa'!I14:I27),SUM('Browne, Francianna Milissa'!I30:I43))&gt;60,"Yes","")</f>
        <v/>
      </c>
      <c r="H6" s="320">
        <f>IF(OR(AND(('Browne, Francianna Milissa'!I14+'Browne, Francianna Milissa'!I15)&gt;0,('Browne, Francianna Milissa'!I16+'Browne, Francianna Milissa'!I17)&gt;0,('Browne, Francianna Milissa'!I18+'Browne, Francianna Milissa'!I19)&gt;0,('Browne, Francianna Milissa'!I20+'Browne, Francianna Milissa'!I21)&gt;0,('Browne, Francianna Milissa'!I22+'Browne, Francianna Milissa'!I23)&gt;0,('Browne, Francianna Milissa'!I24+'Browne, Francianna Milissa'!I25)&gt;0,('Browne, Francianna Milissa'!I26+'Browne, Francianna Milissa'!I27)&gt;0),AND(('Browne, Francianna Milissa'!I30+'Browne, Francianna Milissa'!I31)&gt;0,('Browne, Francianna Milissa'!I32+'Browne, Francianna Milissa'!I33)&gt;0,('Browne, Francianna Milissa'!I34+'Browne, Francianna Milissa'!I35)&gt;0,('Browne, Francianna Milissa'!I36+'Browne, Francianna Milissa'!I37)&gt;0,('Browne, Francianna Milissa'!I38+'Browne, Francianna Milissa'!I39)&gt;0,('Browne, Francianna Milissa'!I40+'Browne, Francianna Milissa'!I41)&gt;0,('Browne, Francianna Milissa'!I42+'Browne, Francianna Milissa'!I43)&gt;0)),"Yes","")</f>
        <v/>
      </c>
      <c r="I6" s="320">
        <f>IF('Browne, Francianna Milissa'!N49&gt;40,"Yes","")</f>
        <v/>
      </c>
      <c r="J6" s="320">
        <f>IF(OR(AND(SUM('Browne, Francianna Milissa'!I14:I27)&gt;0,SUM('Browne, Francianna Milissa'!I14:I27)&lt;40),AND(SUM('Browne, Francianna Milissa'!I30:I43)&gt;0,SUM('Browne, Francianna Milissa'!I30:I43)&lt;40)),"Yes","")</f>
        <v/>
      </c>
      <c r="K6" s="320">
        <f>SUMPRODUCT(('Browne, Francianna Milissa'!I14:I48&gt;0)*('Browne, Francianna Milissa'!I14:I48&lt;8))</f>
        <v/>
      </c>
      <c r="L6" s="320">
        <f>IF('Browne, Francianna Milissa'!Q50&lt;5,"Yes","")</f>
        <v/>
      </c>
      <c r="M6" s="320">
        <f>IF(AND('Browne, Francianna Milissa'!I49&gt;0,'Browne, Francianna Milissa'!I49&lt;80),"Yes","")</f>
        <v/>
      </c>
      <c r="N6" s="320">
        <f>IF(OR(F6&gt;0,G6="Yes",H6="Yes",I6="Yes"),"⚠️ OVERWORK",IF(OR(J6="Yes",K6&gt;0,L6="Yes",M6="Yes"),"🔻 UNDERWORK","✓ OK"))</f>
        <v/>
      </c>
    </row>
    <row r="7">
      <c r="A7" s="320" t="n">
        <v>3</v>
      </c>
      <c r="B7" s="321" t="inlineStr">
        <is>
          <t>Daniels, John Llewellyn</t>
        </is>
      </c>
      <c r="C7" s="320" t="inlineStr">
        <is>
          <t>4777</t>
        </is>
      </c>
      <c r="D7" s="320">
        <f>'Daniels, John Llewellyn'!I49</f>
        <v/>
      </c>
      <c r="E7" s="320">
        <f>'Daniels, John Llewellyn'!Q50</f>
        <v/>
      </c>
      <c r="F7" s="320">
        <f>SUMPRODUCT((('Daniels, John Llewellyn'!I14+'Daniels, John Llewellyn'!I15)&gt;12)*1)+SUMPRODUCT((('Daniels, John Llewellyn'!I16+'Daniels, John Llewellyn'!I17)&gt;12)*1)+SUMPRODUCT((('Daniels, John Llewellyn'!I18+'Daniels, John Llewellyn'!I19)&gt;12)*1)+SUMPRODUCT((('Daniels, John Llewellyn'!I20+'Daniels, John Llewellyn'!I21)&gt;12)*1)+SUMPRODUCT((('Daniels, John Llewellyn'!I22+'Daniels, John Llewellyn'!I23)&gt;12)*1)+SUMPRODUCT((('Daniels, John Llewellyn'!I24+'Daniels, John Llewellyn'!I25)&gt;12)*1)+SUMPRODUCT((('Daniels, John Llewellyn'!I26+'Daniels, John Llewellyn'!I27)&gt;12)*1)+SUMPRODUCT((('Daniels, John Llewellyn'!I30+'Daniels, John Llewellyn'!I31)&gt;12)*1)+SUMPRODUCT((('Daniels, John Llewellyn'!I32+'Daniels, John Llewellyn'!I33)&gt;12)*1)+SUMPRODUCT((('Daniels, John Llewellyn'!I34+'Daniels, John Llewellyn'!I35)&gt;12)*1)+SUMPRODUCT((('Daniels, John Llewellyn'!I36+'Daniels, John Llewellyn'!I37)&gt;12)*1)+SUMPRODUCT((('Daniels, John Llewellyn'!I38+'Daniels, John Llewellyn'!I39)&gt;12)*1)+SUMPRODUCT((('Daniels, John Llewellyn'!I40+'Daniels, John Llewellyn'!I41)&gt;12)*1)+SUMPRODUCT((('Daniels, John Llewellyn'!I42+'Daniels, John Llewellyn'!I43)&gt;12)*1)+SUMPRODUCT((('Daniels, John Llewellyn'!I45+'Daniels, John Llewellyn'!I46)&gt;12)*1)+SUMPRODUCT((('Daniels, John Llewellyn'!I47+'Daniels, John Llewellyn'!I48)&gt;12)*1)</f>
        <v/>
      </c>
      <c r="G7" s="320">
        <f>IF(MAX(SUM('Daniels, John Llewellyn'!I14:I27),SUM('Daniels, John Llewellyn'!I30:I43))&gt;60,"Yes","")</f>
        <v/>
      </c>
      <c r="H7" s="320">
        <f>IF(OR(AND(('Daniels, John Llewellyn'!I14+'Daniels, John Llewellyn'!I15)&gt;0,('Daniels, John Llewellyn'!I16+'Daniels, John Llewellyn'!I17)&gt;0,('Daniels, John Llewellyn'!I18+'Daniels, John Llewellyn'!I19)&gt;0,('Daniels, John Llewellyn'!I20+'Daniels, John Llewellyn'!I21)&gt;0,('Daniels, John Llewellyn'!I22+'Daniels, John Llewellyn'!I23)&gt;0,('Daniels, John Llewellyn'!I24+'Daniels, John Llewellyn'!I25)&gt;0,('Daniels, John Llewellyn'!I26+'Daniels, John Llewellyn'!I27)&gt;0),AND(('Daniels, John Llewellyn'!I30+'Daniels, John Llewellyn'!I31)&gt;0,('Daniels, John Llewellyn'!I32+'Daniels, John Llewellyn'!I33)&gt;0,('Daniels, John Llewellyn'!I34+'Daniels, John Llewellyn'!I35)&gt;0,('Daniels, John Llewellyn'!I36+'Daniels, John Llewellyn'!I37)&gt;0,('Daniels, John Llewellyn'!I38+'Daniels, John Llewellyn'!I39)&gt;0,('Daniels, John Llewellyn'!I40+'Daniels, John Llewellyn'!I41)&gt;0,('Daniels, John Llewellyn'!I42+'Daniels, John Llewellyn'!I43)&gt;0)),"Yes","")</f>
        <v/>
      </c>
      <c r="I7" s="320">
        <f>IF('Daniels, John Llewellyn'!N49&gt;40,"Yes","")</f>
        <v/>
      </c>
      <c r="J7" s="320">
        <f>IF(OR(AND(SUM('Daniels, John Llewellyn'!I14:I27)&gt;0,SUM('Daniels, John Llewellyn'!I14:I27)&lt;40),AND(SUM('Daniels, John Llewellyn'!I30:I43)&gt;0,SUM('Daniels, John Llewellyn'!I30:I43)&lt;40)),"Yes","")</f>
        <v/>
      </c>
      <c r="K7" s="320">
        <f>SUMPRODUCT(('Daniels, John Llewellyn'!I14:I48&gt;0)*('Daniels, John Llewellyn'!I14:I48&lt;8))</f>
        <v/>
      </c>
      <c r="L7" s="320">
        <f>IF('Daniels, John Llewellyn'!Q50&lt;5,"Yes","")</f>
        <v/>
      </c>
      <c r="M7" s="320">
        <f>IF(AND('Daniels, John Llewellyn'!I49&gt;0,'Daniels, John Llewellyn'!I49&lt;80),"Yes","")</f>
        <v/>
      </c>
      <c r="N7" s="320">
        <f>IF(OR(F7&gt;0,G7="Yes",H7="Yes",I7="Yes"),"⚠️ OVERWORK",IF(OR(J7="Yes",K7&gt;0,L7="Yes",M7="Yes"),"🔻 UNDERWORK","✓ OK"))</f>
        <v/>
      </c>
    </row>
    <row r="8">
      <c r="A8" s="320" t="n">
        <v>4</v>
      </c>
      <c r="B8" s="321" t="inlineStr">
        <is>
          <t>David, Jewelle Phillipa</t>
        </is>
      </c>
      <c r="C8" s="320" t="inlineStr">
        <is>
          <t>571</t>
        </is>
      </c>
      <c r="D8" s="320">
        <f>'David, Jewelle Phillipa'!I49</f>
        <v/>
      </c>
      <c r="E8" s="320">
        <f>'David, Jewelle Phillipa'!Q50</f>
        <v/>
      </c>
      <c r="F8" s="320">
        <f>SUMPRODUCT((('David, Jewelle Phillipa'!I14+'David, Jewelle Phillipa'!I15)&gt;12)*1)+SUMPRODUCT((('David, Jewelle Phillipa'!I16+'David, Jewelle Phillipa'!I17)&gt;12)*1)+SUMPRODUCT((('David, Jewelle Phillipa'!I18+'David, Jewelle Phillipa'!I19)&gt;12)*1)+SUMPRODUCT((('David, Jewelle Phillipa'!I20+'David, Jewelle Phillipa'!I21)&gt;12)*1)+SUMPRODUCT((('David, Jewelle Phillipa'!I22+'David, Jewelle Phillipa'!I23)&gt;12)*1)+SUMPRODUCT((('David, Jewelle Phillipa'!I24+'David, Jewelle Phillipa'!I25)&gt;12)*1)+SUMPRODUCT((('David, Jewelle Phillipa'!I26+'David, Jewelle Phillipa'!I27)&gt;12)*1)+SUMPRODUCT((('David, Jewelle Phillipa'!I30+'David, Jewelle Phillipa'!I31)&gt;12)*1)+SUMPRODUCT((('David, Jewelle Phillipa'!I32+'David, Jewelle Phillipa'!I33)&gt;12)*1)+SUMPRODUCT((('David, Jewelle Phillipa'!I34+'David, Jewelle Phillipa'!I35)&gt;12)*1)+SUMPRODUCT((('David, Jewelle Phillipa'!I36+'David, Jewelle Phillipa'!I37)&gt;12)*1)+SUMPRODUCT((('David, Jewelle Phillipa'!I38+'David, Jewelle Phillipa'!I39)&gt;12)*1)+SUMPRODUCT((('David, Jewelle Phillipa'!I40+'David, Jewelle Phillipa'!I41)&gt;12)*1)+SUMPRODUCT((('David, Jewelle Phillipa'!I42+'David, Jewelle Phillipa'!I43)&gt;12)*1)+SUMPRODUCT((('David, Jewelle Phillipa'!I45+'David, Jewelle Phillipa'!I46)&gt;12)*1)+SUMPRODUCT((('David, Jewelle Phillipa'!I47+'David, Jewelle Phillipa'!I48)&gt;12)*1)</f>
        <v/>
      </c>
      <c r="G8" s="320">
        <f>IF(MAX(SUM('David, Jewelle Phillipa'!I14:I27),SUM('David, Jewelle Phillipa'!I30:I43))&gt;60,"Yes","")</f>
        <v/>
      </c>
      <c r="H8" s="320">
        <f>IF(OR(AND(('David, Jewelle Phillipa'!I14+'David, Jewelle Phillipa'!I15)&gt;0,('David, Jewelle Phillipa'!I16+'David, Jewelle Phillipa'!I17)&gt;0,('David, Jewelle Phillipa'!I18+'David, Jewelle Phillipa'!I19)&gt;0,('David, Jewelle Phillipa'!I20+'David, Jewelle Phillipa'!I21)&gt;0,('David, Jewelle Phillipa'!I22+'David, Jewelle Phillipa'!I23)&gt;0,('David, Jewelle Phillipa'!I24+'David, Jewelle Phillipa'!I25)&gt;0,('David, Jewelle Phillipa'!I26+'David, Jewelle Phillipa'!I27)&gt;0),AND(('David, Jewelle Phillipa'!I30+'David, Jewelle Phillipa'!I31)&gt;0,('David, Jewelle Phillipa'!I32+'David, Jewelle Phillipa'!I33)&gt;0,('David, Jewelle Phillipa'!I34+'David, Jewelle Phillipa'!I35)&gt;0,('David, Jewelle Phillipa'!I36+'David, Jewelle Phillipa'!I37)&gt;0,('David, Jewelle Phillipa'!I38+'David, Jewelle Phillipa'!I39)&gt;0,('David, Jewelle Phillipa'!I40+'David, Jewelle Phillipa'!I41)&gt;0,('David, Jewelle Phillipa'!I42+'David, Jewelle Phillipa'!I43)&gt;0)),"Yes","")</f>
        <v/>
      </c>
      <c r="I8" s="320">
        <f>IF('David, Jewelle Phillipa'!N49&gt;40,"Yes","")</f>
        <v/>
      </c>
      <c r="J8" s="320">
        <f>IF(OR(AND(SUM('David, Jewelle Phillipa'!I14:I27)&gt;0,SUM('David, Jewelle Phillipa'!I14:I27)&lt;40),AND(SUM('David, Jewelle Phillipa'!I30:I43)&gt;0,SUM('David, Jewelle Phillipa'!I30:I43)&lt;40)),"Yes","")</f>
        <v/>
      </c>
      <c r="K8" s="320">
        <f>SUMPRODUCT(('David, Jewelle Phillipa'!I14:I48&gt;0)*('David, Jewelle Phillipa'!I14:I48&lt;8))</f>
        <v/>
      </c>
      <c r="L8" s="320">
        <f>IF('David, Jewelle Phillipa'!Q50&lt;5,"Yes","")</f>
        <v/>
      </c>
      <c r="M8" s="320">
        <f>IF(AND('David, Jewelle Phillipa'!I49&gt;0,'David, Jewelle Phillipa'!I49&lt;80),"Yes","")</f>
        <v/>
      </c>
      <c r="N8" s="320">
        <f>IF(OR(F8&gt;0,G8="Yes",H8="Yes",I8="Yes"),"⚠️ OVERWORK",IF(OR(J8="Yes",K8&gt;0,L8="Yes",M8="Yes"),"🔻 UNDERWORK","✓ OK"))</f>
        <v/>
      </c>
    </row>
    <row r="9">
      <c r="A9" s="320" t="n">
        <v>5</v>
      </c>
      <c r="B9" s="321" t="inlineStr">
        <is>
          <t>Dorsett, Susan Patricia</t>
        </is>
      </c>
      <c r="C9" s="320" t="inlineStr">
        <is>
          <t>971</t>
        </is>
      </c>
      <c r="D9" s="320">
        <f>'Dorsett, Susan Patricia'!I49</f>
        <v/>
      </c>
      <c r="E9" s="320">
        <f>'Dorsett, Susan Patricia'!Q50</f>
        <v/>
      </c>
      <c r="F9" s="320">
        <f>SUMPRODUCT((('Dorsett, Susan Patricia'!I14+'Dorsett, Susan Patricia'!I15)&gt;12)*1)+SUMPRODUCT((('Dorsett, Susan Patricia'!I16+'Dorsett, Susan Patricia'!I17)&gt;12)*1)+SUMPRODUCT((('Dorsett, Susan Patricia'!I18+'Dorsett, Susan Patricia'!I19)&gt;12)*1)+SUMPRODUCT((('Dorsett, Susan Patricia'!I20+'Dorsett, Susan Patricia'!I21)&gt;12)*1)+SUMPRODUCT((('Dorsett, Susan Patricia'!I22+'Dorsett, Susan Patricia'!I23)&gt;12)*1)+SUMPRODUCT((('Dorsett, Susan Patricia'!I24+'Dorsett, Susan Patricia'!I25)&gt;12)*1)+SUMPRODUCT((('Dorsett, Susan Patricia'!I26+'Dorsett, Susan Patricia'!I27)&gt;12)*1)+SUMPRODUCT((('Dorsett, Susan Patricia'!I30+'Dorsett, Susan Patricia'!I31)&gt;12)*1)+SUMPRODUCT((('Dorsett, Susan Patricia'!I32+'Dorsett, Susan Patricia'!I33)&gt;12)*1)+SUMPRODUCT((('Dorsett, Susan Patricia'!I34+'Dorsett, Susan Patricia'!I35)&gt;12)*1)+SUMPRODUCT((('Dorsett, Susan Patricia'!I36+'Dorsett, Susan Patricia'!I37)&gt;12)*1)+SUMPRODUCT((('Dorsett, Susan Patricia'!I38+'Dorsett, Susan Patricia'!I39)&gt;12)*1)+SUMPRODUCT((('Dorsett, Susan Patricia'!I40+'Dorsett, Susan Patricia'!I41)&gt;12)*1)+SUMPRODUCT((('Dorsett, Susan Patricia'!I42+'Dorsett, Susan Patricia'!I43)&gt;12)*1)+SUMPRODUCT((('Dorsett, Susan Patricia'!I45+'Dorsett, Susan Patricia'!I46)&gt;12)*1)+SUMPRODUCT((('Dorsett, Susan Patricia'!I47+'Dorsett, Susan Patricia'!I48)&gt;12)*1)</f>
        <v/>
      </c>
      <c r="G9" s="320">
        <f>IF(MAX(SUM('Dorsett, Susan Patricia'!I14:I27),SUM('Dorsett, Susan Patricia'!I30:I43))&gt;60,"Yes","")</f>
        <v/>
      </c>
      <c r="H9" s="320">
        <f>IF(OR(AND(('Dorsett, Susan Patricia'!I14+'Dorsett, Susan Patricia'!I15)&gt;0,('Dorsett, Susan Patricia'!I16+'Dorsett, Susan Patricia'!I17)&gt;0,('Dorsett, Susan Patricia'!I18+'Dorsett, Susan Patricia'!I19)&gt;0,('Dorsett, Susan Patricia'!I20+'Dorsett, Susan Patricia'!I21)&gt;0,('Dorsett, Susan Patricia'!I22+'Dorsett, Susan Patricia'!I23)&gt;0,('Dorsett, Susan Patricia'!I24+'Dorsett, Susan Patricia'!I25)&gt;0,('Dorsett, Susan Patricia'!I26+'Dorsett, Susan Patricia'!I27)&gt;0),AND(('Dorsett, Susan Patricia'!I30+'Dorsett, Susan Patricia'!I31)&gt;0,('Dorsett, Susan Patricia'!I32+'Dorsett, Susan Patricia'!I33)&gt;0,('Dorsett, Susan Patricia'!I34+'Dorsett, Susan Patricia'!I35)&gt;0,('Dorsett, Susan Patricia'!I36+'Dorsett, Susan Patricia'!I37)&gt;0,('Dorsett, Susan Patricia'!I38+'Dorsett, Susan Patricia'!I39)&gt;0,('Dorsett, Susan Patricia'!I40+'Dorsett, Susan Patricia'!I41)&gt;0,('Dorsett, Susan Patricia'!I42+'Dorsett, Susan Patricia'!I43)&gt;0)),"Yes","")</f>
        <v/>
      </c>
      <c r="I9" s="320">
        <f>IF('Dorsett, Susan Patricia'!N49&gt;40,"Yes","")</f>
        <v/>
      </c>
      <c r="J9" s="320">
        <f>IF(OR(AND(SUM('Dorsett, Susan Patricia'!I14:I27)&gt;0,SUM('Dorsett, Susan Patricia'!I14:I27)&lt;40),AND(SUM('Dorsett, Susan Patricia'!I30:I43)&gt;0,SUM('Dorsett, Susan Patricia'!I30:I43)&lt;40)),"Yes","")</f>
        <v/>
      </c>
      <c r="K9" s="320">
        <f>SUMPRODUCT(('Dorsett, Susan Patricia'!I14:I48&gt;0)*('Dorsett, Susan Patricia'!I14:I48&lt;8))</f>
        <v/>
      </c>
      <c r="L9" s="320">
        <f>IF('Dorsett, Susan Patricia'!Q50&lt;5,"Yes","")</f>
        <v/>
      </c>
      <c r="M9" s="320">
        <f>IF(AND('Dorsett, Susan Patricia'!I49&gt;0,'Dorsett, Susan Patricia'!I49&lt;80),"Yes","")</f>
        <v/>
      </c>
      <c r="N9" s="320">
        <f>IF(OR(F9&gt;0,G9="Yes",H9="Yes",I9="Yes"),"⚠️ OVERWORK",IF(OR(J9="Yes",K9&gt;0,L9="Yes",M9="Yes"),"🔻 UNDERWORK","✓ OK"))</f>
        <v/>
      </c>
    </row>
    <row r="10">
      <c r="A10" s="320" t="n">
        <v>6</v>
      </c>
      <c r="B10" s="321" t="inlineStr">
        <is>
          <t>Henry, Colin Vincent</t>
        </is>
      </c>
      <c r="C10" s="320" t="inlineStr">
        <is>
          <t>5507</t>
        </is>
      </c>
      <c r="D10" s="320">
        <f>'Henry, Colin Vincent'!I49</f>
        <v/>
      </c>
      <c r="E10" s="320">
        <f>'Henry, Colin Vincent'!Q50</f>
        <v/>
      </c>
      <c r="F10" s="320">
        <f>SUMPRODUCT((('Henry, Colin Vincent'!I14+'Henry, Colin Vincent'!I15)&gt;12)*1)+SUMPRODUCT((('Henry, Colin Vincent'!I16+'Henry, Colin Vincent'!I17)&gt;12)*1)+SUMPRODUCT((('Henry, Colin Vincent'!I18+'Henry, Colin Vincent'!I19)&gt;12)*1)+SUMPRODUCT((('Henry, Colin Vincent'!I20+'Henry, Colin Vincent'!I21)&gt;12)*1)+SUMPRODUCT((('Henry, Colin Vincent'!I22+'Henry, Colin Vincent'!I23)&gt;12)*1)+SUMPRODUCT((('Henry, Colin Vincent'!I24+'Henry, Colin Vincent'!I25)&gt;12)*1)+SUMPRODUCT((('Henry, Colin Vincent'!I26+'Henry, Colin Vincent'!I27)&gt;12)*1)+SUMPRODUCT((('Henry, Colin Vincent'!I30+'Henry, Colin Vincent'!I31)&gt;12)*1)+SUMPRODUCT((('Henry, Colin Vincent'!I32+'Henry, Colin Vincent'!I33)&gt;12)*1)+SUMPRODUCT((('Henry, Colin Vincent'!I34+'Henry, Colin Vincent'!I35)&gt;12)*1)+SUMPRODUCT((('Henry, Colin Vincent'!I36+'Henry, Colin Vincent'!I37)&gt;12)*1)+SUMPRODUCT((('Henry, Colin Vincent'!I38+'Henry, Colin Vincent'!I39)&gt;12)*1)+SUMPRODUCT((('Henry, Colin Vincent'!I40+'Henry, Colin Vincent'!I41)&gt;12)*1)+SUMPRODUCT((('Henry, Colin Vincent'!I42+'Henry, Colin Vincent'!I43)&gt;12)*1)+SUMPRODUCT((('Henry, Colin Vincent'!I45+'Henry, Colin Vincent'!I46)&gt;12)*1)+SUMPRODUCT((('Henry, Colin Vincent'!I47+'Henry, Colin Vincent'!I48)&gt;12)*1)</f>
        <v/>
      </c>
      <c r="G10" s="320">
        <f>IF(MAX(SUM('Henry, Colin Vincent'!I14:I27),SUM('Henry, Colin Vincent'!I30:I43))&gt;60,"Yes","")</f>
        <v/>
      </c>
      <c r="H10" s="320">
        <f>IF(OR(AND(('Henry, Colin Vincent'!I14+'Henry, Colin Vincent'!I15)&gt;0,('Henry, Colin Vincent'!I16+'Henry, Colin Vincent'!I17)&gt;0,('Henry, Colin Vincent'!I18+'Henry, Colin Vincent'!I19)&gt;0,('Henry, Colin Vincent'!I20+'Henry, Colin Vincent'!I21)&gt;0,('Henry, Colin Vincent'!I22+'Henry, Colin Vincent'!I23)&gt;0,('Henry, Colin Vincent'!I24+'Henry, Colin Vincent'!I25)&gt;0,('Henry, Colin Vincent'!I26+'Henry, Colin Vincent'!I27)&gt;0),AND(('Henry, Colin Vincent'!I30+'Henry, Colin Vincent'!I31)&gt;0,('Henry, Colin Vincent'!I32+'Henry, Colin Vincent'!I33)&gt;0,('Henry, Colin Vincent'!I34+'Henry, Colin Vincent'!I35)&gt;0,('Henry, Colin Vincent'!I36+'Henry, Colin Vincent'!I37)&gt;0,('Henry, Colin Vincent'!I38+'Henry, Colin Vincent'!I39)&gt;0,('Henry, Colin Vincent'!I40+'Henry, Colin Vincent'!I41)&gt;0,('Henry, Colin Vincent'!I42+'Henry, Colin Vincent'!I43)&gt;0)),"Yes","")</f>
        <v/>
      </c>
      <c r="I10" s="320">
        <f>IF('Henry, Colin Vincent'!N49&gt;40,"Yes","")</f>
        <v/>
      </c>
      <c r="J10" s="320">
        <f>IF(OR(AND(SUM('Henry, Colin Vincent'!I14:I27)&gt;0,SUM('Henry, Colin Vincent'!I14:I27)&lt;40),AND(SUM('Henry, Colin Vincent'!I30:I43)&gt;0,SUM('Henry, Colin Vincent'!I30:I43)&lt;40)),"Yes","")</f>
        <v/>
      </c>
      <c r="K10" s="320">
        <f>SUMPRODUCT(('Henry, Colin Vincent'!I14:I48&gt;0)*('Henry, Colin Vincent'!I14:I48&lt;8))</f>
        <v/>
      </c>
      <c r="L10" s="320">
        <f>IF('Henry, Colin Vincent'!Q50&lt;5,"Yes","")</f>
        <v/>
      </c>
      <c r="M10" s="320">
        <f>IF(AND('Henry, Colin Vincent'!I49&gt;0,'Henry, Colin Vincent'!I49&lt;80),"Yes","")</f>
        <v/>
      </c>
      <c r="N10" s="320">
        <f>IF(OR(F10&gt;0,G10="Yes",H10="Yes",I10="Yes"),"⚠️ OVERWORK",IF(OR(J10="Yes",K10&gt;0,L10="Yes",M10="Yes"),"🔻 UNDERWORK","✓ OK"))</f>
        <v/>
      </c>
    </row>
    <row r="11">
      <c r="A11" s="320" t="n">
        <v>7</v>
      </c>
      <c r="B11" s="321" t="inlineStr">
        <is>
          <t>Pearson, Roslyn Andrea</t>
        </is>
      </c>
      <c r="C11" s="320" t="inlineStr">
        <is>
          <t>755</t>
        </is>
      </c>
      <c r="D11" s="320">
        <f>'Pearson, Roslyn Andrea'!I49</f>
        <v/>
      </c>
      <c r="E11" s="320">
        <f>'Pearson, Roslyn Andrea'!Q50</f>
        <v/>
      </c>
      <c r="F11" s="320">
        <f>SUMPRODUCT((('Pearson, Roslyn Andrea'!I14+'Pearson, Roslyn Andrea'!I15)&gt;12)*1)+SUMPRODUCT((('Pearson, Roslyn Andrea'!I16+'Pearson, Roslyn Andrea'!I17)&gt;12)*1)+SUMPRODUCT((('Pearson, Roslyn Andrea'!I18+'Pearson, Roslyn Andrea'!I19)&gt;12)*1)+SUMPRODUCT((('Pearson, Roslyn Andrea'!I20+'Pearson, Roslyn Andrea'!I21)&gt;12)*1)+SUMPRODUCT((('Pearson, Roslyn Andrea'!I22+'Pearson, Roslyn Andrea'!I23)&gt;12)*1)+SUMPRODUCT((('Pearson, Roslyn Andrea'!I24+'Pearson, Roslyn Andrea'!I25)&gt;12)*1)+SUMPRODUCT((('Pearson, Roslyn Andrea'!I26+'Pearson, Roslyn Andrea'!I27)&gt;12)*1)+SUMPRODUCT((('Pearson, Roslyn Andrea'!I30+'Pearson, Roslyn Andrea'!I31)&gt;12)*1)+SUMPRODUCT((('Pearson, Roslyn Andrea'!I32+'Pearson, Roslyn Andrea'!I33)&gt;12)*1)+SUMPRODUCT((('Pearson, Roslyn Andrea'!I34+'Pearson, Roslyn Andrea'!I35)&gt;12)*1)+SUMPRODUCT((('Pearson, Roslyn Andrea'!I36+'Pearson, Roslyn Andrea'!I37)&gt;12)*1)+SUMPRODUCT((('Pearson, Roslyn Andrea'!I38+'Pearson, Roslyn Andrea'!I39)&gt;12)*1)+SUMPRODUCT((('Pearson, Roslyn Andrea'!I40+'Pearson, Roslyn Andrea'!I41)&gt;12)*1)+SUMPRODUCT((('Pearson, Roslyn Andrea'!I42+'Pearson, Roslyn Andrea'!I43)&gt;12)*1)+SUMPRODUCT((('Pearson, Roslyn Andrea'!I45+'Pearson, Roslyn Andrea'!I46)&gt;12)*1)+SUMPRODUCT((('Pearson, Roslyn Andrea'!I47+'Pearson, Roslyn Andrea'!I48)&gt;12)*1)</f>
        <v/>
      </c>
      <c r="G11" s="320">
        <f>IF(MAX(SUM('Pearson, Roslyn Andrea'!I14:I27),SUM('Pearson, Roslyn Andrea'!I30:I43))&gt;60,"Yes","")</f>
        <v/>
      </c>
      <c r="H11" s="320">
        <f>IF(OR(AND(('Pearson, Roslyn Andrea'!I14+'Pearson, Roslyn Andrea'!I15)&gt;0,('Pearson, Roslyn Andrea'!I16+'Pearson, Roslyn Andrea'!I17)&gt;0,('Pearson, Roslyn Andrea'!I18+'Pearson, Roslyn Andrea'!I19)&gt;0,('Pearson, Roslyn Andrea'!I20+'Pearson, Roslyn Andrea'!I21)&gt;0,('Pearson, Roslyn Andrea'!I22+'Pearson, Roslyn Andrea'!I23)&gt;0,('Pearson, Roslyn Andrea'!I24+'Pearson, Roslyn Andrea'!I25)&gt;0,('Pearson, Roslyn Andrea'!I26+'Pearson, Roslyn Andrea'!I27)&gt;0),AND(('Pearson, Roslyn Andrea'!I30+'Pearson, Roslyn Andrea'!I31)&gt;0,('Pearson, Roslyn Andrea'!I32+'Pearson, Roslyn Andrea'!I33)&gt;0,('Pearson, Roslyn Andrea'!I34+'Pearson, Roslyn Andrea'!I35)&gt;0,('Pearson, Roslyn Andrea'!I36+'Pearson, Roslyn Andrea'!I37)&gt;0,('Pearson, Roslyn Andrea'!I38+'Pearson, Roslyn Andrea'!I39)&gt;0,('Pearson, Roslyn Andrea'!I40+'Pearson, Roslyn Andrea'!I41)&gt;0,('Pearson, Roslyn Andrea'!I42+'Pearson, Roslyn Andrea'!I43)&gt;0)),"Yes","")</f>
        <v/>
      </c>
      <c r="I11" s="320">
        <f>IF('Pearson, Roslyn Andrea'!N49&gt;40,"Yes","")</f>
        <v/>
      </c>
      <c r="J11" s="320">
        <f>IF(OR(AND(SUM('Pearson, Roslyn Andrea'!I14:I27)&gt;0,SUM('Pearson, Roslyn Andrea'!I14:I27)&lt;40),AND(SUM('Pearson, Roslyn Andrea'!I30:I43)&gt;0,SUM('Pearson, Roslyn Andrea'!I30:I43)&lt;40)),"Yes","")</f>
        <v/>
      </c>
      <c r="K11" s="320">
        <f>SUMPRODUCT(('Pearson, Roslyn Andrea'!I14:I48&gt;0)*('Pearson, Roslyn Andrea'!I14:I48&lt;8))</f>
        <v/>
      </c>
      <c r="L11" s="320">
        <f>IF('Pearson, Roslyn Andrea'!Q50&lt;5,"Yes","")</f>
        <v/>
      </c>
      <c r="M11" s="320">
        <f>IF(AND('Pearson, Roslyn Andrea'!I49&gt;0,'Pearson, Roslyn Andrea'!I49&lt;80),"Yes","")</f>
        <v/>
      </c>
      <c r="N11" s="320">
        <f>IF(OR(F11&gt;0,G11="Yes",H11="Yes",I11="Yes"),"⚠️ OVERWORK",IF(OR(J11="Yes",K11&gt;0,L11="Yes",M11="Yes"),"🔻 UNDERWORK","✓ OK"))</f>
        <v/>
      </c>
    </row>
    <row r="12">
      <c r="A12" s="320" t="n">
        <v>8</v>
      </c>
      <c r="B12" s="321" t="inlineStr">
        <is>
          <t>Proffitt, Clive Rodericks</t>
        </is>
      </c>
      <c r="C12" s="320" t="inlineStr">
        <is>
          <t>229</t>
        </is>
      </c>
      <c r="D12" s="320">
        <f>'Proffitt, Clive Rodericks'!I49</f>
        <v/>
      </c>
      <c r="E12" s="320">
        <f>'Proffitt, Clive Rodericks'!Q50</f>
        <v/>
      </c>
      <c r="F12" s="320">
        <f>SUMPRODUCT((('Proffitt, Clive Rodericks'!I14+'Proffitt, Clive Rodericks'!I15)&gt;12)*1)+SUMPRODUCT((('Proffitt, Clive Rodericks'!I16+'Proffitt, Clive Rodericks'!I17)&gt;12)*1)+SUMPRODUCT((('Proffitt, Clive Rodericks'!I18+'Proffitt, Clive Rodericks'!I19)&gt;12)*1)+SUMPRODUCT((('Proffitt, Clive Rodericks'!I20+'Proffitt, Clive Rodericks'!I21)&gt;12)*1)+SUMPRODUCT((('Proffitt, Clive Rodericks'!I22+'Proffitt, Clive Rodericks'!I23)&gt;12)*1)+SUMPRODUCT((('Proffitt, Clive Rodericks'!I24+'Proffitt, Clive Rodericks'!I25)&gt;12)*1)+SUMPRODUCT((('Proffitt, Clive Rodericks'!I26+'Proffitt, Clive Rodericks'!I27)&gt;12)*1)+SUMPRODUCT((('Proffitt, Clive Rodericks'!I30+'Proffitt, Clive Rodericks'!I31)&gt;12)*1)+SUMPRODUCT((('Proffitt, Clive Rodericks'!I32+'Proffitt, Clive Rodericks'!I33)&gt;12)*1)+SUMPRODUCT((('Proffitt, Clive Rodericks'!I34+'Proffitt, Clive Rodericks'!I35)&gt;12)*1)+SUMPRODUCT((('Proffitt, Clive Rodericks'!I36+'Proffitt, Clive Rodericks'!I37)&gt;12)*1)+SUMPRODUCT((('Proffitt, Clive Rodericks'!I38+'Proffitt, Clive Rodericks'!I39)&gt;12)*1)+SUMPRODUCT((('Proffitt, Clive Rodericks'!I40+'Proffitt, Clive Rodericks'!I41)&gt;12)*1)+SUMPRODUCT((('Proffitt, Clive Rodericks'!I42+'Proffitt, Clive Rodericks'!I43)&gt;12)*1)+SUMPRODUCT((('Proffitt, Clive Rodericks'!I45+'Proffitt, Clive Rodericks'!I46)&gt;12)*1)+SUMPRODUCT((('Proffitt, Clive Rodericks'!I47+'Proffitt, Clive Rodericks'!I48)&gt;12)*1)</f>
        <v/>
      </c>
      <c r="G12" s="320">
        <f>IF(MAX(SUM('Proffitt, Clive Rodericks'!I14:I27),SUM('Proffitt, Clive Rodericks'!I30:I43))&gt;60,"Yes","")</f>
        <v/>
      </c>
      <c r="H12" s="320">
        <f>IF(OR(AND(('Proffitt, Clive Rodericks'!I14+'Proffitt, Clive Rodericks'!I15)&gt;0,('Proffitt, Clive Rodericks'!I16+'Proffitt, Clive Rodericks'!I17)&gt;0,('Proffitt, Clive Rodericks'!I18+'Proffitt, Clive Rodericks'!I19)&gt;0,('Proffitt, Clive Rodericks'!I20+'Proffitt, Clive Rodericks'!I21)&gt;0,('Proffitt, Clive Rodericks'!I22+'Proffitt, Clive Rodericks'!I23)&gt;0,('Proffitt, Clive Rodericks'!I24+'Proffitt, Clive Rodericks'!I25)&gt;0,('Proffitt, Clive Rodericks'!I26+'Proffitt, Clive Rodericks'!I27)&gt;0),AND(('Proffitt, Clive Rodericks'!I30+'Proffitt, Clive Rodericks'!I31)&gt;0,('Proffitt, Clive Rodericks'!I32+'Proffitt, Clive Rodericks'!I33)&gt;0,('Proffitt, Clive Rodericks'!I34+'Proffitt, Clive Rodericks'!I35)&gt;0,('Proffitt, Clive Rodericks'!I36+'Proffitt, Clive Rodericks'!I37)&gt;0,('Proffitt, Clive Rodericks'!I38+'Proffitt, Clive Rodericks'!I39)&gt;0,('Proffitt, Clive Rodericks'!I40+'Proffitt, Clive Rodericks'!I41)&gt;0,('Proffitt, Clive Rodericks'!I42+'Proffitt, Clive Rodericks'!I43)&gt;0)),"Yes","")</f>
        <v/>
      </c>
      <c r="I12" s="320">
        <f>IF('Proffitt, Clive Rodericks'!N49&gt;40,"Yes","")</f>
        <v/>
      </c>
      <c r="J12" s="320">
        <f>IF(OR(AND(SUM('Proffitt, Clive Rodericks'!I14:I27)&gt;0,SUM('Proffitt, Clive Rodericks'!I14:I27)&lt;40),AND(SUM('Proffitt, Clive Rodericks'!I30:I43)&gt;0,SUM('Proffitt, Clive Rodericks'!I30:I43)&lt;40)),"Yes","")</f>
        <v/>
      </c>
      <c r="K12" s="320">
        <f>SUMPRODUCT(('Proffitt, Clive Rodericks'!I14:I48&gt;0)*('Proffitt, Clive Rodericks'!I14:I48&lt;8))</f>
        <v/>
      </c>
      <c r="L12" s="320">
        <f>IF('Proffitt, Clive Rodericks'!Q50&lt;5,"Yes","")</f>
        <v/>
      </c>
      <c r="M12" s="320">
        <f>IF(AND('Proffitt, Clive Rodericks'!I49&gt;0,'Proffitt, Clive Rodericks'!I49&lt;80),"Yes","")</f>
        <v/>
      </c>
      <c r="N12" s="320">
        <f>IF(OR(F12&gt;0,G12="Yes",H12="Yes",I12="Yes"),"⚠️ OVERWORK",IF(OR(J12="Yes",K12&gt;0,L12="Yes",M12="Yes"),"🔻 UNDERWORK","✓ OK"))</f>
        <v/>
      </c>
    </row>
    <row r="13">
      <c r="A13" s="320" t="n">
        <v>9</v>
      </c>
      <c r="B13" s="321" t="inlineStr">
        <is>
          <t>Ridley, Theresa</t>
        </is>
      </c>
      <c r="C13" s="320" t="inlineStr">
        <is>
          <t>564</t>
        </is>
      </c>
      <c r="D13" s="320">
        <f>'Ridley, Theresa'!I49</f>
        <v/>
      </c>
      <c r="E13" s="320">
        <f>'Ridley, Theresa'!Q50</f>
        <v/>
      </c>
      <c r="F13" s="320">
        <f>SUMPRODUCT((('Ridley, Theresa'!I14+'Ridley, Theresa'!I15)&gt;12)*1)+SUMPRODUCT((('Ridley, Theresa'!I16+'Ridley, Theresa'!I17)&gt;12)*1)+SUMPRODUCT((('Ridley, Theresa'!I18+'Ridley, Theresa'!I19)&gt;12)*1)+SUMPRODUCT((('Ridley, Theresa'!I20+'Ridley, Theresa'!I21)&gt;12)*1)+SUMPRODUCT((('Ridley, Theresa'!I22+'Ridley, Theresa'!I23)&gt;12)*1)+SUMPRODUCT((('Ridley, Theresa'!I24+'Ridley, Theresa'!I25)&gt;12)*1)+SUMPRODUCT((('Ridley, Theresa'!I26+'Ridley, Theresa'!I27)&gt;12)*1)+SUMPRODUCT((('Ridley, Theresa'!I30+'Ridley, Theresa'!I31)&gt;12)*1)+SUMPRODUCT((('Ridley, Theresa'!I32+'Ridley, Theresa'!I33)&gt;12)*1)+SUMPRODUCT((('Ridley, Theresa'!I34+'Ridley, Theresa'!I35)&gt;12)*1)+SUMPRODUCT((('Ridley, Theresa'!I36+'Ridley, Theresa'!I37)&gt;12)*1)+SUMPRODUCT((('Ridley, Theresa'!I38+'Ridley, Theresa'!I39)&gt;12)*1)+SUMPRODUCT((('Ridley, Theresa'!I40+'Ridley, Theresa'!I41)&gt;12)*1)+SUMPRODUCT((('Ridley, Theresa'!I42+'Ridley, Theresa'!I43)&gt;12)*1)+SUMPRODUCT((('Ridley, Theresa'!I45+'Ridley, Theresa'!I46)&gt;12)*1)+SUMPRODUCT((('Ridley, Theresa'!I47+'Ridley, Theresa'!I48)&gt;12)*1)</f>
        <v/>
      </c>
      <c r="G13" s="320">
        <f>IF(MAX(SUM('Ridley, Theresa'!I14:I27),SUM('Ridley, Theresa'!I30:I43))&gt;60,"Yes","")</f>
        <v/>
      </c>
      <c r="H13" s="320">
        <f>IF(OR(AND(('Ridley, Theresa'!I14+'Ridley, Theresa'!I15)&gt;0,('Ridley, Theresa'!I16+'Ridley, Theresa'!I17)&gt;0,('Ridley, Theresa'!I18+'Ridley, Theresa'!I19)&gt;0,('Ridley, Theresa'!I20+'Ridley, Theresa'!I21)&gt;0,('Ridley, Theresa'!I22+'Ridley, Theresa'!I23)&gt;0,('Ridley, Theresa'!I24+'Ridley, Theresa'!I25)&gt;0,('Ridley, Theresa'!I26+'Ridley, Theresa'!I27)&gt;0),AND(('Ridley, Theresa'!I30+'Ridley, Theresa'!I31)&gt;0,('Ridley, Theresa'!I32+'Ridley, Theresa'!I33)&gt;0,('Ridley, Theresa'!I34+'Ridley, Theresa'!I35)&gt;0,('Ridley, Theresa'!I36+'Ridley, Theresa'!I37)&gt;0,('Ridley, Theresa'!I38+'Ridley, Theresa'!I39)&gt;0,('Ridley, Theresa'!I40+'Ridley, Theresa'!I41)&gt;0,('Ridley, Theresa'!I42+'Ridley, Theresa'!I43)&gt;0)),"Yes","")</f>
        <v/>
      </c>
      <c r="I13" s="320">
        <f>IF('Ridley, Theresa'!N49&gt;40,"Yes","")</f>
        <v/>
      </c>
      <c r="J13" s="320">
        <f>IF(OR(AND(SUM('Ridley, Theresa'!I14:I27)&gt;0,SUM('Ridley, Theresa'!I14:I27)&lt;40),AND(SUM('Ridley, Theresa'!I30:I43)&gt;0,SUM('Ridley, Theresa'!I30:I43)&lt;40)),"Yes","")</f>
        <v/>
      </c>
      <c r="K13" s="320">
        <f>SUMPRODUCT(('Ridley, Theresa'!I14:I48&gt;0)*('Ridley, Theresa'!I14:I48&lt;8))</f>
        <v/>
      </c>
      <c r="L13" s="320">
        <f>IF('Ridley, Theresa'!Q50&lt;5,"Yes","")</f>
        <v/>
      </c>
      <c r="M13" s="320">
        <f>IF(AND('Ridley, Theresa'!I49&gt;0,'Ridley, Theresa'!I49&lt;80),"Yes","")</f>
        <v/>
      </c>
      <c r="N13" s="320">
        <f>IF(OR(F13&gt;0,G13="Yes",H13="Yes",I13="Yes"),"⚠️ OVERWORK",IF(OR(J13="Yes",K13&gt;0,L13="Yes",M13="Yes"),"🔻 UNDERWORK","✓ OK"))</f>
        <v/>
      </c>
    </row>
    <row r="14">
      <c r="A14" s="320" t="n">
        <v>10</v>
      </c>
      <c r="B14" s="321" t="inlineStr">
        <is>
          <t>Spencer, Shemar Ethy</t>
        </is>
      </c>
      <c r="C14" s="320" t="inlineStr">
        <is>
          <t>5489</t>
        </is>
      </c>
      <c r="D14" s="320">
        <f>'Spencer, Shemar Ethy'!I49</f>
        <v/>
      </c>
      <c r="E14" s="320">
        <f>'Spencer, Shemar Ethy'!Q50</f>
        <v/>
      </c>
      <c r="F14" s="320">
        <f>SUMPRODUCT((('Spencer, Shemar Ethy'!I14+'Spencer, Shemar Ethy'!I15)&gt;12)*1)+SUMPRODUCT((('Spencer, Shemar Ethy'!I16+'Spencer, Shemar Ethy'!I17)&gt;12)*1)+SUMPRODUCT((('Spencer, Shemar Ethy'!I18+'Spencer, Shemar Ethy'!I19)&gt;12)*1)+SUMPRODUCT((('Spencer, Shemar Ethy'!I20+'Spencer, Shemar Ethy'!I21)&gt;12)*1)+SUMPRODUCT((('Spencer, Shemar Ethy'!I22+'Spencer, Shemar Ethy'!I23)&gt;12)*1)+SUMPRODUCT((('Spencer, Shemar Ethy'!I24+'Spencer, Shemar Ethy'!I25)&gt;12)*1)+SUMPRODUCT((('Spencer, Shemar Ethy'!I26+'Spencer, Shemar Ethy'!I27)&gt;12)*1)+SUMPRODUCT((('Spencer, Shemar Ethy'!I30+'Spencer, Shemar Ethy'!I31)&gt;12)*1)+SUMPRODUCT((('Spencer, Shemar Ethy'!I32+'Spencer, Shemar Ethy'!I33)&gt;12)*1)+SUMPRODUCT((('Spencer, Shemar Ethy'!I34+'Spencer, Shemar Ethy'!I35)&gt;12)*1)+SUMPRODUCT((('Spencer, Shemar Ethy'!I36+'Spencer, Shemar Ethy'!I37)&gt;12)*1)+SUMPRODUCT((('Spencer, Shemar Ethy'!I38+'Spencer, Shemar Ethy'!I39)&gt;12)*1)+SUMPRODUCT((('Spencer, Shemar Ethy'!I40+'Spencer, Shemar Ethy'!I41)&gt;12)*1)+SUMPRODUCT((('Spencer, Shemar Ethy'!I42+'Spencer, Shemar Ethy'!I43)&gt;12)*1)+SUMPRODUCT((('Spencer, Shemar Ethy'!I45+'Spencer, Shemar Ethy'!I46)&gt;12)*1)+SUMPRODUCT((('Spencer, Shemar Ethy'!I47+'Spencer, Shemar Ethy'!I48)&gt;12)*1)</f>
        <v/>
      </c>
      <c r="G14" s="320">
        <f>IF(MAX(SUM('Spencer, Shemar Ethy'!I14:I27),SUM('Spencer, Shemar Ethy'!I30:I43))&gt;60,"Yes","")</f>
        <v/>
      </c>
      <c r="H14" s="320">
        <f>IF(OR(AND(('Spencer, Shemar Ethy'!I14+'Spencer, Shemar Ethy'!I15)&gt;0,('Spencer, Shemar Ethy'!I16+'Spencer, Shemar Ethy'!I17)&gt;0,('Spencer, Shemar Ethy'!I18+'Spencer, Shemar Ethy'!I19)&gt;0,('Spencer, Shemar Ethy'!I20+'Spencer, Shemar Ethy'!I21)&gt;0,('Spencer, Shemar Ethy'!I22+'Spencer, Shemar Ethy'!I23)&gt;0,('Spencer, Shemar Ethy'!I24+'Spencer, Shemar Ethy'!I25)&gt;0,('Spencer, Shemar Ethy'!I26+'Spencer, Shemar Ethy'!I27)&gt;0),AND(('Spencer, Shemar Ethy'!I30+'Spencer, Shemar Ethy'!I31)&gt;0,('Spencer, Shemar Ethy'!I32+'Spencer, Shemar Ethy'!I33)&gt;0,('Spencer, Shemar Ethy'!I34+'Spencer, Shemar Ethy'!I35)&gt;0,('Spencer, Shemar Ethy'!I36+'Spencer, Shemar Ethy'!I37)&gt;0,('Spencer, Shemar Ethy'!I38+'Spencer, Shemar Ethy'!I39)&gt;0,('Spencer, Shemar Ethy'!I40+'Spencer, Shemar Ethy'!I41)&gt;0,('Spencer, Shemar Ethy'!I42+'Spencer, Shemar Ethy'!I43)&gt;0)),"Yes","")</f>
        <v/>
      </c>
      <c r="I14" s="320">
        <f>IF('Spencer, Shemar Ethy'!N49&gt;40,"Yes","")</f>
        <v/>
      </c>
      <c r="J14" s="320">
        <f>IF(OR(AND(SUM('Spencer, Shemar Ethy'!I14:I27)&gt;0,SUM('Spencer, Shemar Ethy'!I14:I27)&lt;40),AND(SUM('Spencer, Shemar Ethy'!I30:I43)&gt;0,SUM('Spencer, Shemar Ethy'!I30:I43)&lt;40)),"Yes","")</f>
        <v/>
      </c>
      <c r="K14" s="320">
        <f>SUMPRODUCT(('Spencer, Shemar Ethy'!I14:I48&gt;0)*('Spencer, Shemar Ethy'!I14:I48&lt;8))</f>
        <v/>
      </c>
      <c r="L14" s="320">
        <f>IF('Spencer, Shemar Ethy'!Q50&lt;5,"Yes","")</f>
        <v/>
      </c>
      <c r="M14" s="320">
        <f>IF(AND('Spencer, Shemar Ethy'!I49&gt;0,'Spencer, Shemar Ethy'!I49&lt;80),"Yes","")</f>
        <v/>
      </c>
      <c r="N14" s="320">
        <f>IF(OR(F14&gt;0,G14="Yes",H14="Yes",I14="Yes"),"⚠️ OVERWORK",IF(OR(J14="Yes",K14&gt;0,L14="Yes",M14="Yes"),"🔻 UNDERWORK","✓ OK"))</f>
        <v/>
      </c>
    </row>
    <row r="15">
      <c r="A15" s="320" t="n">
        <v>11</v>
      </c>
      <c r="B15" s="321" t="inlineStr">
        <is>
          <t>Whinfield, Merlyn Beatrice</t>
        </is>
      </c>
      <c r="C15" s="320" t="inlineStr">
        <is>
          <t>3345</t>
        </is>
      </c>
      <c r="D15" s="320">
        <f>'Whinfield, Merlyn Beatrice'!I49</f>
        <v/>
      </c>
      <c r="E15" s="320">
        <f>'Whinfield, Merlyn Beatrice'!Q50</f>
        <v/>
      </c>
      <c r="F15" s="320">
        <f>SUMPRODUCT((('Whinfield, Merlyn Beatrice'!I14+'Whinfield, Merlyn Beatrice'!I15)&gt;12)*1)+SUMPRODUCT((('Whinfield, Merlyn Beatrice'!I16+'Whinfield, Merlyn Beatrice'!I17)&gt;12)*1)+SUMPRODUCT((('Whinfield, Merlyn Beatrice'!I18+'Whinfield, Merlyn Beatrice'!I19)&gt;12)*1)+SUMPRODUCT((('Whinfield, Merlyn Beatrice'!I20+'Whinfield, Merlyn Beatrice'!I21)&gt;12)*1)+SUMPRODUCT((('Whinfield, Merlyn Beatrice'!I22+'Whinfield, Merlyn Beatrice'!I23)&gt;12)*1)+SUMPRODUCT((('Whinfield, Merlyn Beatrice'!I24+'Whinfield, Merlyn Beatrice'!I25)&gt;12)*1)+SUMPRODUCT((('Whinfield, Merlyn Beatrice'!I26+'Whinfield, Merlyn Beatrice'!I27)&gt;12)*1)+SUMPRODUCT((('Whinfield, Merlyn Beatrice'!I30+'Whinfield, Merlyn Beatrice'!I31)&gt;12)*1)+SUMPRODUCT((('Whinfield, Merlyn Beatrice'!I32+'Whinfield, Merlyn Beatrice'!I33)&gt;12)*1)+SUMPRODUCT((('Whinfield, Merlyn Beatrice'!I34+'Whinfield, Merlyn Beatrice'!I35)&gt;12)*1)+SUMPRODUCT((('Whinfield, Merlyn Beatrice'!I36+'Whinfield, Merlyn Beatrice'!I37)&gt;12)*1)+SUMPRODUCT((('Whinfield, Merlyn Beatrice'!I38+'Whinfield, Merlyn Beatrice'!I39)&gt;12)*1)+SUMPRODUCT((('Whinfield, Merlyn Beatrice'!I40+'Whinfield, Merlyn Beatrice'!I41)&gt;12)*1)+SUMPRODUCT((('Whinfield, Merlyn Beatrice'!I42+'Whinfield, Merlyn Beatrice'!I43)&gt;12)*1)+SUMPRODUCT((('Whinfield, Merlyn Beatrice'!I45+'Whinfield, Merlyn Beatrice'!I46)&gt;12)*1)+SUMPRODUCT((('Whinfield, Merlyn Beatrice'!I47+'Whinfield, Merlyn Beatrice'!I48)&gt;12)*1)</f>
        <v/>
      </c>
      <c r="G15" s="320">
        <f>IF(MAX(SUM('Whinfield, Merlyn Beatrice'!I14:I27),SUM('Whinfield, Merlyn Beatrice'!I30:I43))&gt;60,"Yes","")</f>
        <v/>
      </c>
      <c r="H15" s="320">
        <f>IF(OR(AND(('Whinfield, Merlyn Beatrice'!I14+'Whinfield, Merlyn Beatrice'!I15)&gt;0,('Whinfield, Merlyn Beatrice'!I16+'Whinfield, Merlyn Beatrice'!I17)&gt;0,('Whinfield, Merlyn Beatrice'!I18+'Whinfield, Merlyn Beatrice'!I19)&gt;0,('Whinfield, Merlyn Beatrice'!I20+'Whinfield, Merlyn Beatrice'!I21)&gt;0,('Whinfield, Merlyn Beatrice'!I22+'Whinfield, Merlyn Beatrice'!I23)&gt;0,('Whinfield, Merlyn Beatrice'!I24+'Whinfield, Merlyn Beatrice'!I25)&gt;0,('Whinfield, Merlyn Beatrice'!I26+'Whinfield, Merlyn Beatrice'!I27)&gt;0),AND(('Whinfield, Merlyn Beatrice'!I30+'Whinfield, Merlyn Beatrice'!I31)&gt;0,('Whinfield, Merlyn Beatrice'!I32+'Whinfield, Merlyn Beatrice'!I33)&gt;0,('Whinfield, Merlyn Beatrice'!I34+'Whinfield, Merlyn Beatrice'!I35)&gt;0,('Whinfield, Merlyn Beatrice'!I36+'Whinfield, Merlyn Beatrice'!I37)&gt;0,('Whinfield, Merlyn Beatrice'!I38+'Whinfield, Merlyn Beatrice'!I39)&gt;0,('Whinfield, Merlyn Beatrice'!I40+'Whinfield, Merlyn Beatrice'!I41)&gt;0,('Whinfield, Merlyn Beatrice'!I42+'Whinfield, Merlyn Beatrice'!I43)&gt;0)),"Yes","")</f>
        <v/>
      </c>
      <c r="I15" s="320">
        <f>IF('Whinfield, Merlyn Beatrice'!N49&gt;40,"Yes","")</f>
        <v/>
      </c>
      <c r="J15" s="320">
        <f>IF(OR(AND(SUM('Whinfield, Merlyn Beatrice'!I14:I27)&gt;0,SUM('Whinfield, Merlyn Beatrice'!I14:I27)&lt;40),AND(SUM('Whinfield, Merlyn Beatrice'!I30:I43)&gt;0,SUM('Whinfield, Merlyn Beatrice'!I30:I43)&lt;40)),"Yes","")</f>
        <v/>
      </c>
      <c r="K15" s="320">
        <f>SUMPRODUCT(('Whinfield, Merlyn Beatrice'!I14:I48&gt;0)*('Whinfield, Merlyn Beatrice'!I14:I48&lt;8))</f>
        <v/>
      </c>
      <c r="L15" s="320">
        <f>IF('Whinfield, Merlyn Beatrice'!Q50&lt;5,"Yes","")</f>
        <v/>
      </c>
      <c r="M15" s="320">
        <f>IF(AND('Whinfield, Merlyn Beatrice'!I49&gt;0,'Whinfield, Merlyn Beatrice'!I49&lt;80),"Yes","")</f>
        <v/>
      </c>
      <c r="N15" s="320">
        <f>IF(OR(F15&gt;0,G15="Yes",H15="Yes",I15="Yes"),"⚠️ OVERWORK",IF(OR(J15="Yes",K15&gt;0,L15="Yes",M15="Yes"),"🔻 UNDERWORK","✓ OK"))</f>
        <v/>
      </c>
    </row>
    <row r="17">
      <c r="A17" s="330" t="inlineStr">
        <is>
          <t>SUMMARY</t>
        </is>
      </c>
    </row>
    <row r="18">
      <c r="A18" s="322" t="inlineStr">
        <is>
          <t>⚠️ Overwork Flags:</t>
        </is>
      </c>
      <c r="C18" s="322">
        <f>COUNTIF(N5:N16,"⚠️ OVERWORK")</f>
        <v/>
      </c>
    </row>
    <row r="19">
      <c r="A19" s="325" t="inlineStr">
        <is>
          <t>🔻 Underwork Flags:</t>
        </is>
      </c>
      <c r="C19" s="325">
        <f>COUNTIF(N5:N16,"🔻 UNDERWORK")</f>
        <v/>
      </c>
    </row>
    <row r="20">
      <c r="A20" s="323" t="inlineStr">
        <is>
          <t>✓ OK:</t>
        </is>
      </c>
      <c r="C20" s="323">
        <f>COUNTIF(N5:N16,"✓ OK")</f>
        <v/>
      </c>
    </row>
    <row r="22">
      <c r="A22" s="330" t="inlineStr">
        <is>
          <t>THRESHOLDS:</t>
        </is>
      </c>
    </row>
    <row r="23">
      <c r="A23" t="inlineStr">
        <is>
          <t>Overwork: Daily &gt;12hrs | Weekly &gt;60hrs | 7+ consecutive days | OT &gt;40hrs/period</t>
        </is>
      </c>
    </row>
    <row r="24">
      <c r="A24" t="inlineStr">
        <is>
          <t>Underwork: Weekly &lt;40hrs | Daily &lt;8hrs (when worked) | &lt;5 days/week | Period &lt;80hrs total</t>
        </is>
      </c>
    </row>
  </sheetData>
  <mergeCells count="5">
    <mergeCell ref="A24:N24"/>
    <mergeCell ref="A2:N2"/>
    <mergeCell ref="A17:C17"/>
    <mergeCell ref="A23:N2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tabSelected="1" workbookViewId="0">
      <selection activeCell="F19" sqref="F19"/>
    </sheetView>
  </sheetViews>
  <sheetFormatPr baseColWidth="8" defaultRowHeight="15"/>
  <cols>
    <col width="16" customWidth="1" style="328" min="1" max="1"/>
    <col width="18.42578125" customWidth="1" style="328" min="2" max="2"/>
    <col width="17.85546875" customWidth="1" style="328" min="3" max="3"/>
    <col width="21.42578125" customWidth="1" style="328" min="4" max="4"/>
    <col width="19.7109375" customWidth="1" style="328" min="5" max="5"/>
  </cols>
  <sheetData>
    <row r="1" ht="14.45" customHeight="1" s="328">
      <c r="A1" s="310" t="inlineStr">
        <is>
          <t>PAYROLL_ID</t>
        </is>
      </c>
      <c r="B1" s="310" t="inlineStr">
        <is>
          <t>EMPLOYEENAME</t>
        </is>
      </c>
      <c r="C1" s="310" t="inlineStr">
        <is>
          <t>INCOME_CODE</t>
        </is>
      </c>
      <c r="D1" s="310" t="inlineStr">
        <is>
          <t>HOURS</t>
        </is>
      </c>
      <c r="E1" s="310" t="inlineStr">
        <is>
          <t>DOLLARS</t>
        </is>
      </c>
    </row>
    <row r="2">
      <c r="A2">
        <f>'Payroll Summary'!B4</f>
        <v/>
      </c>
      <c r="B2">
        <f>'Payroll Summary'!A4</f>
        <v/>
      </c>
      <c r="C2" t="inlineStr">
        <is>
          <t>AL</t>
        </is>
      </c>
      <c r="D2">
        <f>'Payroll Summary'!J4</f>
        <v/>
      </c>
    </row>
    <row r="3">
      <c r="A3">
        <f>A2</f>
        <v/>
      </c>
      <c r="B3">
        <f>B2</f>
        <v/>
      </c>
      <c r="C3" t="inlineStr">
        <is>
          <t>BS</t>
        </is>
      </c>
      <c r="D3">
        <f>'Payroll Summary'!D4</f>
        <v/>
      </c>
    </row>
    <row r="4">
      <c r="A4">
        <f>A3</f>
        <v/>
      </c>
      <c r="B4">
        <f>B3</f>
        <v/>
      </c>
      <c r="C4" t="inlineStr">
        <is>
          <t>DT</t>
        </is>
      </c>
      <c r="D4">
        <f>'Payroll Summary'!F4</f>
        <v/>
      </c>
    </row>
    <row r="5">
      <c r="A5">
        <f>A4</f>
        <v/>
      </c>
      <c r="B5">
        <f>B4</f>
        <v/>
      </c>
      <c r="C5" t="inlineStr">
        <is>
          <t>R</t>
        </is>
      </c>
      <c r="D5">
        <f>'Payroll Summary'!G4</f>
        <v/>
      </c>
    </row>
    <row r="6">
      <c r="A6">
        <f>A5</f>
        <v/>
      </c>
      <c r="B6">
        <f>B5</f>
        <v/>
      </c>
      <c r="C6" t="inlineStr">
        <is>
          <t>I</t>
        </is>
      </c>
      <c r="D6">
        <f>'Payroll Summary'!O4</f>
        <v/>
      </c>
    </row>
    <row r="7">
      <c r="A7">
        <f>A6</f>
        <v/>
      </c>
      <c r="B7">
        <f>B6</f>
        <v/>
      </c>
      <c r="C7" t="inlineStr">
        <is>
          <t>MA</t>
        </is>
      </c>
      <c r="D7">
        <f>'Payroll Summary'!I4</f>
        <v/>
      </c>
    </row>
    <row r="8">
      <c r="A8">
        <f>A7</f>
        <v/>
      </c>
      <c r="B8">
        <f>B7</f>
        <v/>
      </c>
      <c r="C8" t="inlineStr">
        <is>
          <t>OT</t>
        </is>
      </c>
      <c r="D8">
        <f>'Payroll Summary'!E4</f>
        <v/>
      </c>
    </row>
    <row r="9">
      <c r="A9">
        <f>A8</f>
        <v/>
      </c>
      <c r="B9">
        <f>B8</f>
        <v/>
      </c>
      <c r="C9" t="inlineStr">
        <is>
          <t>RA</t>
        </is>
      </c>
      <c r="D9">
        <f>'Payroll Summary'!H4</f>
        <v/>
      </c>
    </row>
    <row r="10" ht="21" customHeight="1" s="328">
      <c r="A10">
        <f>A9</f>
        <v/>
      </c>
      <c r="B10">
        <f>B9</f>
        <v/>
      </c>
      <c r="C10" s="366" t="inlineStr">
        <is>
          <t xml:space="preserve"> STATIONALLOWANC</t>
        </is>
      </c>
      <c r="D10">
        <f>'Payroll Summary'!L4</f>
        <v/>
      </c>
    </row>
    <row r="11">
      <c r="A11">
        <f>A10</f>
        <v/>
      </c>
      <c r="B11">
        <f>B10</f>
        <v/>
      </c>
      <c r="C11" t="inlineStr">
        <is>
          <t>GAS</t>
        </is>
      </c>
      <c r="D11">
        <f>'Payroll Summary'!M4</f>
        <v/>
      </c>
    </row>
    <row r="12">
      <c r="A12">
        <f>A11</f>
        <v/>
      </c>
      <c r="B12">
        <f>B11</f>
        <v/>
      </c>
      <c r="C12" t="inlineStr">
        <is>
          <t>PRVLED</t>
        </is>
      </c>
      <c r="D12">
        <f>'Payroll Summary'!N4</f>
        <v/>
      </c>
    </row>
    <row r="13">
      <c r="A13">
        <f>'Payroll Summary'!B5</f>
        <v/>
      </c>
      <c r="B13">
        <f>'Payroll Summary'!A5</f>
        <v/>
      </c>
      <c r="C13" t="inlineStr">
        <is>
          <t>AL</t>
        </is>
      </c>
      <c r="D13">
        <f>'Payroll Summary'!J5</f>
        <v/>
      </c>
    </row>
    <row r="14">
      <c r="A14">
        <f>A13</f>
        <v/>
      </c>
      <c r="B14">
        <f>B13</f>
        <v/>
      </c>
      <c r="C14" t="inlineStr">
        <is>
          <t>BS</t>
        </is>
      </c>
      <c r="D14">
        <f>'Payroll Summary'!D5</f>
        <v/>
      </c>
    </row>
    <row r="15">
      <c r="A15">
        <f>A14</f>
        <v/>
      </c>
      <c r="B15">
        <f>B14</f>
        <v/>
      </c>
      <c r="C15" t="inlineStr">
        <is>
          <t>DT</t>
        </is>
      </c>
      <c r="D15">
        <f>'Payroll Summary'!F5</f>
        <v/>
      </c>
    </row>
    <row r="16">
      <c r="A16">
        <f>A15</f>
        <v/>
      </c>
      <c r="B16">
        <f>B15</f>
        <v/>
      </c>
      <c r="C16" t="inlineStr">
        <is>
          <t>R</t>
        </is>
      </c>
      <c r="D16">
        <f>'Payroll Summary'!G5</f>
        <v/>
      </c>
    </row>
    <row r="17">
      <c r="A17">
        <f>A16</f>
        <v/>
      </c>
      <c r="B17">
        <f>B16</f>
        <v/>
      </c>
      <c r="C17" t="inlineStr">
        <is>
          <t>I</t>
        </is>
      </c>
      <c r="D17">
        <f>'Payroll Summary'!O5</f>
        <v/>
      </c>
    </row>
    <row r="18">
      <c r="A18">
        <f>A17</f>
        <v/>
      </c>
      <c r="B18">
        <f>B17</f>
        <v/>
      </c>
      <c r="C18" t="inlineStr">
        <is>
          <t>MA</t>
        </is>
      </c>
      <c r="D18">
        <f>'Payroll Summary'!I5</f>
        <v/>
      </c>
    </row>
    <row r="19">
      <c r="A19">
        <f>A18</f>
        <v/>
      </c>
      <c r="B19">
        <f>B18</f>
        <v/>
      </c>
      <c r="C19" t="inlineStr">
        <is>
          <t>OT</t>
        </is>
      </c>
      <c r="D19">
        <f>'Payroll Summary'!E5</f>
        <v/>
      </c>
    </row>
    <row r="20">
      <c r="A20">
        <f>A19</f>
        <v/>
      </c>
      <c r="B20">
        <f>B19</f>
        <v/>
      </c>
      <c r="C20" t="inlineStr">
        <is>
          <t>RA</t>
        </is>
      </c>
      <c r="D20">
        <f>'Payroll Summary'!H5</f>
        <v/>
      </c>
    </row>
    <row r="21">
      <c r="A21">
        <f>A20</f>
        <v/>
      </c>
      <c r="B21">
        <f>B20</f>
        <v/>
      </c>
      <c r="C21" t="inlineStr">
        <is>
          <t xml:space="preserve"> STATIONALLOWANC</t>
        </is>
      </c>
      <c r="D21">
        <f>'Payroll Summary'!L5</f>
        <v/>
      </c>
    </row>
    <row r="22">
      <c r="A22">
        <f>A21</f>
        <v/>
      </c>
      <c r="B22">
        <f>B21</f>
        <v/>
      </c>
      <c r="C22" t="inlineStr">
        <is>
          <t>GAS</t>
        </is>
      </c>
      <c r="D22">
        <f>'Payroll Summary'!M5</f>
        <v/>
      </c>
    </row>
    <row r="23">
      <c r="A23">
        <f>A22</f>
        <v/>
      </c>
      <c r="B23">
        <f>B22</f>
        <v/>
      </c>
      <c r="C23" t="inlineStr">
        <is>
          <t>PRVLED</t>
        </is>
      </c>
      <c r="D23">
        <f>'Payroll Summary'!N5</f>
        <v/>
      </c>
    </row>
    <row r="24">
      <c r="A24">
        <f>'Payroll Summary'!B6</f>
        <v/>
      </c>
      <c r="B24">
        <f>'Payroll Summary'!A6</f>
        <v/>
      </c>
      <c r="C24" t="inlineStr">
        <is>
          <t>AL</t>
        </is>
      </c>
      <c r="D24">
        <f>'Payroll Summary'!J6</f>
        <v/>
      </c>
    </row>
    <row r="25">
      <c r="A25">
        <f>A24</f>
        <v/>
      </c>
      <c r="B25">
        <f>B24</f>
        <v/>
      </c>
      <c r="C25" t="inlineStr">
        <is>
          <t>BS</t>
        </is>
      </c>
      <c r="D25">
        <f>'Payroll Summary'!D6</f>
        <v/>
      </c>
    </row>
    <row r="26">
      <c r="A26">
        <f>A25</f>
        <v/>
      </c>
      <c r="B26">
        <f>B25</f>
        <v/>
      </c>
      <c r="C26" t="inlineStr">
        <is>
          <t>DT</t>
        </is>
      </c>
      <c r="D26">
        <f>'Payroll Summary'!F6</f>
        <v/>
      </c>
    </row>
    <row r="27">
      <c r="A27">
        <f>A26</f>
        <v/>
      </c>
      <c r="B27">
        <f>B26</f>
        <v/>
      </c>
      <c r="C27" t="inlineStr">
        <is>
          <t>R</t>
        </is>
      </c>
      <c r="D27">
        <f>'Payroll Summary'!G6</f>
        <v/>
      </c>
    </row>
    <row r="28">
      <c r="A28">
        <f>A27</f>
        <v/>
      </c>
      <c r="B28">
        <f>B27</f>
        <v/>
      </c>
      <c r="C28" t="inlineStr">
        <is>
          <t>I</t>
        </is>
      </c>
      <c r="D28">
        <f>'Payroll Summary'!O6</f>
        <v/>
      </c>
    </row>
    <row r="29">
      <c r="A29">
        <f>A28</f>
        <v/>
      </c>
      <c r="B29">
        <f>B28</f>
        <v/>
      </c>
      <c r="C29" t="inlineStr">
        <is>
          <t>MA</t>
        </is>
      </c>
      <c r="D29">
        <f>'Payroll Summary'!I6</f>
        <v/>
      </c>
    </row>
    <row r="30">
      <c r="A30">
        <f>A29</f>
        <v/>
      </c>
      <c r="B30">
        <f>B29</f>
        <v/>
      </c>
      <c r="C30" t="inlineStr">
        <is>
          <t>OT</t>
        </is>
      </c>
      <c r="D30">
        <f>'Payroll Summary'!E6</f>
        <v/>
      </c>
    </row>
    <row r="31">
      <c r="A31">
        <f>A30</f>
        <v/>
      </c>
      <c r="B31">
        <f>B30</f>
        <v/>
      </c>
      <c r="C31" t="inlineStr">
        <is>
          <t>RA</t>
        </is>
      </c>
      <c r="D31">
        <f>'Payroll Summary'!H6</f>
        <v/>
      </c>
    </row>
    <row r="32">
      <c r="A32">
        <f>A31</f>
        <v/>
      </c>
      <c r="B32">
        <f>B31</f>
        <v/>
      </c>
      <c r="C32" t="inlineStr">
        <is>
          <t xml:space="preserve"> STATIONALLOWANC</t>
        </is>
      </c>
      <c r="D32">
        <f>'Payroll Summary'!L6</f>
        <v/>
      </c>
    </row>
    <row r="33">
      <c r="A33">
        <f>A32</f>
        <v/>
      </c>
      <c r="B33">
        <f>B32</f>
        <v/>
      </c>
      <c r="C33" t="inlineStr">
        <is>
          <t>GAS</t>
        </is>
      </c>
      <c r="D33">
        <f>'Payroll Summary'!M6</f>
        <v/>
      </c>
    </row>
    <row r="34">
      <c r="A34">
        <f>A33</f>
        <v/>
      </c>
      <c r="B34">
        <f>B33</f>
        <v/>
      </c>
      <c r="C34" t="inlineStr">
        <is>
          <t>PRVLED</t>
        </is>
      </c>
      <c r="D34">
        <f>'Payroll Summary'!N6</f>
        <v/>
      </c>
    </row>
    <row r="35">
      <c r="A35">
        <f>'Payroll Summary'!B7</f>
        <v/>
      </c>
      <c r="B35">
        <f>'Payroll Summary'!A7</f>
        <v/>
      </c>
      <c r="C35" t="inlineStr">
        <is>
          <t>AL</t>
        </is>
      </c>
      <c r="D35">
        <f>'Payroll Summary'!J7</f>
        <v/>
      </c>
    </row>
    <row r="36">
      <c r="A36">
        <f>A35</f>
        <v/>
      </c>
      <c r="B36">
        <f>B35</f>
        <v/>
      </c>
      <c r="C36" t="inlineStr">
        <is>
          <t>BS</t>
        </is>
      </c>
      <c r="D36">
        <f>'Payroll Summary'!D7</f>
        <v/>
      </c>
    </row>
    <row r="37">
      <c r="A37">
        <f>A36</f>
        <v/>
      </c>
      <c r="B37">
        <f>B36</f>
        <v/>
      </c>
      <c r="C37" t="inlineStr">
        <is>
          <t>DT</t>
        </is>
      </c>
      <c r="D37">
        <f>'Payroll Summary'!F7</f>
        <v/>
      </c>
    </row>
    <row r="38">
      <c r="A38">
        <f>A37</f>
        <v/>
      </c>
      <c r="B38">
        <f>B37</f>
        <v/>
      </c>
      <c r="C38" t="inlineStr">
        <is>
          <t>R</t>
        </is>
      </c>
      <c r="D38">
        <f>'Payroll Summary'!G7</f>
        <v/>
      </c>
    </row>
    <row r="39">
      <c r="A39">
        <f>A38</f>
        <v/>
      </c>
      <c r="B39">
        <f>B38</f>
        <v/>
      </c>
      <c r="C39" t="inlineStr">
        <is>
          <t>I</t>
        </is>
      </c>
      <c r="D39">
        <f>'Payroll Summary'!O7</f>
        <v/>
      </c>
    </row>
    <row r="40">
      <c r="A40">
        <f>A39</f>
        <v/>
      </c>
      <c r="B40">
        <f>B39</f>
        <v/>
      </c>
      <c r="C40" t="inlineStr">
        <is>
          <t>MA</t>
        </is>
      </c>
      <c r="D40">
        <f>'Payroll Summary'!I7</f>
        <v/>
      </c>
    </row>
    <row r="41">
      <c r="A41">
        <f>A40</f>
        <v/>
      </c>
      <c r="B41">
        <f>B40</f>
        <v/>
      </c>
      <c r="C41" t="inlineStr">
        <is>
          <t>OT</t>
        </is>
      </c>
      <c r="D41">
        <f>'Payroll Summary'!E7</f>
        <v/>
      </c>
    </row>
    <row r="42">
      <c r="A42">
        <f>A41</f>
        <v/>
      </c>
      <c r="B42">
        <f>B41</f>
        <v/>
      </c>
      <c r="C42" t="inlineStr">
        <is>
          <t>RA</t>
        </is>
      </c>
      <c r="D42">
        <f>'Payroll Summary'!H7</f>
        <v/>
      </c>
    </row>
    <row r="43">
      <c r="A43">
        <f>A42</f>
        <v/>
      </c>
      <c r="B43">
        <f>B42</f>
        <v/>
      </c>
      <c r="C43" t="inlineStr">
        <is>
          <t xml:space="preserve"> STATIONALLOWANC</t>
        </is>
      </c>
      <c r="D43">
        <f>'Payroll Summary'!L7</f>
        <v/>
      </c>
    </row>
    <row r="44">
      <c r="A44">
        <f>A43</f>
        <v/>
      </c>
      <c r="B44">
        <f>B43</f>
        <v/>
      </c>
      <c r="C44" t="inlineStr">
        <is>
          <t>GAS</t>
        </is>
      </c>
      <c r="D44">
        <f>'Payroll Summary'!M7</f>
        <v/>
      </c>
    </row>
    <row r="45">
      <c r="A45">
        <f>A44</f>
        <v/>
      </c>
      <c r="B45">
        <f>B44</f>
        <v/>
      </c>
      <c r="C45" t="inlineStr">
        <is>
          <t>PRVLED</t>
        </is>
      </c>
      <c r="D45">
        <f>'Payroll Summary'!N7</f>
        <v/>
      </c>
    </row>
    <row r="46">
      <c r="A46">
        <f>'Payroll Summary'!B8</f>
        <v/>
      </c>
      <c r="B46">
        <f>'Payroll Summary'!A8</f>
        <v/>
      </c>
      <c r="C46" t="inlineStr">
        <is>
          <t>AL</t>
        </is>
      </c>
      <c r="D46">
        <f>'Payroll Summary'!J8</f>
        <v/>
      </c>
    </row>
    <row r="47">
      <c r="A47">
        <f>A46</f>
        <v/>
      </c>
      <c r="B47">
        <f>B46</f>
        <v/>
      </c>
      <c r="C47" t="inlineStr">
        <is>
          <t>BS</t>
        </is>
      </c>
      <c r="D47">
        <f>'Payroll Summary'!D8</f>
        <v/>
      </c>
    </row>
    <row r="48">
      <c r="A48">
        <f>A47</f>
        <v/>
      </c>
      <c r="B48">
        <f>B47</f>
        <v/>
      </c>
      <c r="C48" t="inlineStr">
        <is>
          <t>DT</t>
        </is>
      </c>
      <c r="D48">
        <f>'Payroll Summary'!F8</f>
        <v/>
      </c>
    </row>
    <row r="49">
      <c r="A49">
        <f>A48</f>
        <v/>
      </c>
      <c r="B49">
        <f>B48</f>
        <v/>
      </c>
      <c r="C49" t="inlineStr">
        <is>
          <t>R</t>
        </is>
      </c>
      <c r="D49">
        <f>'Payroll Summary'!G8</f>
        <v/>
      </c>
    </row>
    <row r="50">
      <c r="A50">
        <f>A49</f>
        <v/>
      </c>
      <c r="B50">
        <f>B49</f>
        <v/>
      </c>
      <c r="C50" t="inlineStr">
        <is>
          <t>I</t>
        </is>
      </c>
      <c r="D50">
        <f>'Payroll Summary'!O8</f>
        <v/>
      </c>
    </row>
    <row r="51">
      <c r="A51">
        <f>A50</f>
        <v/>
      </c>
      <c r="B51">
        <f>B50</f>
        <v/>
      </c>
      <c r="C51" t="inlineStr">
        <is>
          <t>MA</t>
        </is>
      </c>
      <c r="D51">
        <f>'Payroll Summary'!I8</f>
        <v/>
      </c>
    </row>
    <row r="52">
      <c r="A52">
        <f>A51</f>
        <v/>
      </c>
      <c r="B52">
        <f>B51</f>
        <v/>
      </c>
      <c r="C52" t="inlineStr">
        <is>
          <t>OT</t>
        </is>
      </c>
      <c r="D52">
        <f>'Payroll Summary'!E8</f>
        <v/>
      </c>
    </row>
    <row r="53">
      <c r="A53">
        <f>A52</f>
        <v/>
      </c>
      <c r="B53">
        <f>B52</f>
        <v/>
      </c>
      <c r="C53" t="inlineStr">
        <is>
          <t>RA</t>
        </is>
      </c>
      <c r="D53">
        <f>'Payroll Summary'!H8</f>
        <v/>
      </c>
    </row>
    <row r="54">
      <c r="A54">
        <f>A53</f>
        <v/>
      </c>
      <c r="B54">
        <f>B53</f>
        <v/>
      </c>
      <c r="C54" t="inlineStr">
        <is>
          <t xml:space="preserve"> STATIONALLOWANC</t>
        </is>
      </c>
      <c r="D54">
        <f>'Payroll Summary'!L8</f>
        <v/>
      </c>
    </row>
    <row r="55">
      <c r="A55">
        <f>A54</f>
        <v/>
      </c>
      <c r="B55">
        <f>B54</f>
        <v/>
      </c>
      <c r="C55" t="inlineStr">
        <is>
          <t>GAS</t>
        </is>
      </c>
      <c r="D55">
        <f>'Payroll Summary'!M8</f>
        <v/>
      </c>
    </row>
    <row r="56">
      <c r="A56">
        <f>A55</f>
        <v/>
      </c>
      <c r="B56">
        <f>B55</f>
        <v/>
      </c>
      <c r="C56" t="inlineStr">
        <is>
          <t>PRVLED</t>
        </is>
      </c>
      <c r="D56">
        <f>'Payroll Summary'!N8</f>
        <v/>
      </c>
    </row>
    <row r="57">
      <c r="A57">
        <f>'Payroll Summary'!B9</f>
        <v/>
      </c>
      <c r="B57">
        <f>'Payroll Summary'!A9</f>
        <v/>
      </c>
      <c r="C57" t="inlineStr">
        <is>
          <t>AL</t>
        </is>
      </c>
      <c r="D57">
        <f>'Payroll Summary'!J9</f>
        <v/>
      </c>
    </row>
    <row r="58">
      <c r="A58">
        <f>A57</f>
        <v/>
      </c>
      <c r="B58">
        <f>B57</f>
        <v/>
      </c>
      <c r="C58" t="inlineStr">
        <is>
          <t>BS</t>
        </is>
      </c>
      <c r="D58">
        <f>'Payroll Summary'!D9</f>
        <v/>
      </c>
    </row>
    <row r="59">
      <c r="A59">
        <f>A58</f>
        <v/>
      </c>
      <c r="B59">
        <f>B58</f>
        <v/>
      </c>
      <c r="C59" t="inlineStr">
        <is>
          <t>DT</t>
        </is>
      </c>
      <c r="D59">
        <f>'Payroll Summary'!F9</f>
        <v/>
      </c>
    </row>
    <row r="60">
      <c r="A60">
        <f>A59</f>
        <v/>
      </c>
      <c r="B60">
        <f>B59</f>
        <v/>
      </c>
      <c r="C60" t="inlineStr">
        <is>
          <t>R</t>
        </is>
      </c>
      <c r="D60">
        <f>'Payroll Summary'!G9</f>
        <v/>
      </c>
    </row>
    <row r="61">
      <c r="A61">
        <f>A60</f>
        <v/>
      </c>
      <c r="B61">
        <f>B60</f>
        <v/>
      </c>
      <c r="C61" t="inlineStr">
        <is>
          <t>I</t>
        </is>
      </c>
      <c r="D61">
        <f>'Payroll Summary'!O9</f>
        <v/>
      </c>
    </row>
    <row r="62">
      <c r="A62">
        <f>A61</f>
        <v/>
      </c>
      <c r="B62">
        <f>B61</f>
        <v/>
      </c>
      <c r="C62" t="inlineStr">
        <is>
          <t>MA</t>
        </is>
      </c>
      <c r="D62">
        <f>'Payroll Summary'!I9</f>
        <v/>
      </c>
    </row>
    <row r="63">
      <c r="A63">
        <f>A62</f>
        <v/>
      </c>
      <c r="B63">
        <f>B62</f>
        <v/>
      </c>
      <c r="C63" t="inlineStr">
        <is>
          <t>OT</t>
        </is>
      </c>
      <c r="D63">
        <f>'Payroll Summary'!E9</f>
        <v/>
      </c>
    </row>
    <row r="64">
      <c r="A64">
        <f>A63</f>
        <v/>
      </c>
      <c r="B64">
        <f>B63</f>
        <v/>
      </c>
      <c r="C64" t="inlineStr">
        <is>
          <t>RA</t>
        </is>
      </c>
      <c r="D64">
        <f>'Payroll Summary'!H9</f>
        <v/>
      </c>
    </row>
    <row r="65">
      <c r="A65">
        <f>A64</f>
        <v/>
      </c>
      <c r="B65">
        <f>B64</f>
        <v/>
      </c>
      <c r="C65" t="inlineStr">
        <is>
          <t xml:space="preserve"> STATIONALLOWANC</t>
        </is>
      </c>
      <c r="D65">
        <f>'Payroll Summary'!L9</f>
        <v/>
      </c>
    </row>
    <row r="66">
      <c r="A66">
        <f>A65</f>
        <v/>
      </c>
      <c r="B66">
        <f>B65</f>
        <v/>
      </c>
      <c r="C66" t="inlineStr">
        <is>
          <t>GAS</t>
        </is>
      </c>
      <c r="D66">
        <f>'Payroll Summary'!M9</f>
        <v/>
      </c>
    </row>
    <row r="67">
      <c r="A67">
        <f>A66</f>
        <v/>
      </c>
      <c r="B67">
        <f>B66</f>
        <v/>
      </c>
      <c r="C67" t="inlineStr">
        <is>
          <t>PRVLED</t>
        </is>
      </c>
      <c r="D67">
        <f>'Payroll Summary'!N9</f>
        <v/>
      </c>
    </row>
    <row r="68">
      <c r="A68">
        <f>'Payroll Summary'!B10</f>
        <v/>
      </c>
      <c r="B68">
        <f>'Payroll Summary'!A10</f>
        <v/>
      </c>
      <c r="C68" t="inlineStr">
        <is>
          <t>AL</t>
        </is>
      </c>
      <c r="D68">
        <f>'Payroll Summary'!J10</f>
        <v/>
      </c>
    </row>
    <row r="69">
      <c r="A69">
        <f>A68</f>
        <v/>
      </c>
      <c r="B69">
        <f>B68</f>
        <v/>
      </c>
      <c r="C69" t="inlineStr">
        <is>
          <t>BS</t>
        </is>
      </c>
      <c r="D69">
        <f>'Payroll Summary'!D10</f>
        <v/>
      </c>
    </row>
    <row r="70">
      <c r="A70">
        <f>A69</f>
        <v/>
      </c>
      <c r="B70">
        <f>B69</f>
        <v/>
      </c>
      <c r="C70" t="inlineStr">
        <is>
          <t>DT</t>
        </is>
      </c>
      <c r="D70">
        <f>'Payroll Summary'!F10</f>
        <v/>
      </c>
    </row>
    <row r="71">
      <c r="A71">
        <f>A70</f>
        <v/>
      </c>
      <c r="B71">
        <f>B70</f>
        <v/>
      </c>
      <c r="C71" t="inlineStr">
        <is>
          <t>R</t>
        </is>
      </c>
      <c r="D71">
        <f>'Payroll Summary'!G10</f>
        <v/>
      </c>
    </row>
    <row r="72">
      <c r="A72">
        <f>A71</f>
        <v/>
      </c>
      <c r="B72">
        <f>B71</f>
        <v/>
      </c>
      <c r="C72" t="inlineStr">
        <is>
          <t>I</t>
        </is>
      </c>
      <c r="D72">
        <f>'Payroll Summary'!O10</f>
        <v/>
      </c>
    </row>
    <row r="73">
      <c r="A73">
        <f>A72</f>
        <v/>
      </c>
      <c r="B73">
        <f>B72</f>
        <v/>
      </c>
      <c r="C73" t="inlineStr">
        <is>
          <t>MA</t>
        </is>
      </c>
      <c r="D73">
        <f>'Payroll Summary'!I10</f>
        <v/>
      </c>
    </row>
    <row r="74">
      <c r="A74">
        <f>A73</f>
        <v/>
      </c>
      <c r="B74">
        <f>B73</f>
        <v/>
      </c>
      <c r="C74" t="inlineStr">
        <is>
          <t>OT</t>
        </is>
      </c>
      <c r="D74">
        <f>'Payroll Summary'!E10</f>
        <v/>
      </c>
    </row>
    <row r="75">
      <c r="A75">
        <f>A74</f>
        <v/>
      </c>
      <c r="B75">
        <f>B74</f>
        <v/>
      </c>
      <c r="C75" t="inlineStr">
        <is>
          <t>RA</t>
        </is>
      </c>
      <c r="D75">
        <f>'Payroll Summary'!H10</f>
        <v/>
      </c>
    </row>
    <row r="76">
      <c r="A76">
        <f>A75</f>
        <v/>
      </c>
      <c r="B76">
        <f>B75</f>
        <v/>
      </c>
      <c r="C76" t="inlineStr">
        <is>
          <t xml:space="preserve"> STATIONALLOWANC</t>
        </is>
      </c>
      <c r="D76">
        <f>'Payroll Summary'!L10</f>
        <v/>
      </c>
    </row>
    <row r="77">
      <c r="A77">
        <f>A76</f>
        <v/>
      </c>
      <c r="B77">
        <f>B76</f>
        <v/>
      </c>
      <c r="C77" t="inlineStr">
        <is>
          <t>GAS</t>
        </is>
      </c>
      <c r="D77">
        <f>'Payroll Summary'!M10</f>
        <v/>
      </c>
    </row>
    <row r="78">
      <c r="A78">
        <f>A77</f>
        <v/>
      </c>
      <c r="B78">
        <f>B77</f>
        <v/>
      </c>
      <c r="C78" t="inlineStr">
        <is>
          <t>PRVLED</t>
        </is>
      </c>
      <c r="D78">
        <f>'Payroll Summary'!N10</f>
        <v/>
      </c>
    </row>
    <row r="79">
      <c r="A79">
        <f>'Payroll Summary'!B11</f>
        <v/>
      </c>
      <c r="B79">
        <f>'Payroll Summary'!A11</f>
        <v/>
      </c>
      <c r="C79" t="inlineStr">
        <is>
          <t>AL</t>
        </is>
      </c>
      <c r="D79">
        <f>'Payroll Summary'!J11</f>
        <v/>
      </c>
    </row>
    <row r="80">
      <c r="A80">
        <f>A79</f>
        <v/>
      </c>
      <c r="B80">
        <f>B79</f>
        <v/>
      </c>
      <c r="C80" t="inlineStr">
        <is>
          <t>BS</t>
        </is>
      </c>
      <c r="D80">
        <f>'Payroll Summary'!D11</f>
        <v/>
      </c>
    </row>
    <row r="81">
      <c r="A81">
        <f>A80</f>
        <v/>
      </c>
      <c r="B81">
        <f>B80</f>
        <v/>
      </c>
      <c r="C81" t="inlineStr">
        <is>
          <t>DT</t>
        </is>
      </c>
      <c r="D81">
        <f>'Payroll Summary'!F11</f>
        <v/>
      </c>
    </row>
    <row r="82">
      <c r="A82">
        <f>A81</f>
        <v/>
      </c>
      <c r="B82">
        <f>B81</f>
        <v/>
      </c>
      <c r="C82" t="inlineStr">
        <is>
          <t>R</t>
        </is>
      </c>
      <c r="D82">
        <f>'Payroll Summary'!G11</f>
        <v/>
      </c>
    </row>
    <row r="83">
      <c r="A83">
        <f>A82</f>
        <v/>
      </c>
      <c r="B83">
        <f>B82</f>
        <v/>
      </c>
      <c r="C83" t="inlineStr">
        <is>
          <t>I</t>
        </is>
      </c>
      <c r="D83">
        <f>'Payroll Summary'!O11</f>
        <v/>
      </c>
    </row>
    <row r="84">
      <c r="A84">
        <f>A83</f>
        <v/>
      </c>
      <c r="B84">
        <f>B83</f>
        <v/>
      </c>
      <c r="C84" t="inlineStr">
        <is>
          <t>MA</t>
        </is>
      </c>
      <c r="D84">
        <f>'Payroll Summary'!I11</f>
        <v/>
      </c>
    </row>
    <row r="85">
      <c r="A85">
        <f>A84</f>
        <v/>
      </c>
      <c r="B85">
        <f>B84</f>
        <v/>
      </c>
      <c r="C85" t="inlineStr">
        <is>
          <t>OT</t>
        </is>
      </c>
      <c r="D85">
        <f>'Payroll Summary'!E11</f>
        <v/>
      </c>
    </row>
    <row r="86">
      <c r="A86">
        <f>A85</f>
        <v/>
      </c>
      <c r="B86">
        <f>B85</f>
        <v/>
      </c>
      <c r="C86" t="inlineStr">
        <is>
          <t>RA</t>
        </is>
      </c>
      <c r="D86">
        <f>'Payroll Summary'!H11</f>
        <v/>
      </c>
    </row>
    <row r="87">
      <c r="A87">
        <f>A86</f>
        <v/>
      </c>
      <c r="B87">
        <f>B86</f>
        <v/>
      </c>
      <c r="C87" t="inlineStr">
        <is>
          <t xml:space="preserve"> STATIONALLOWANC</t>
        </is>
      </c>
      <c r="D87">
        <f>'Payroll Summary'!L11</f>
        <v/>
      </c>
    </row>
    <row r="88">
      <c r="A88">
        <f>A87</f>
        <v/>
      </c>
      <c r="B88">
        <f>B87</f>
        <v/>
      </c>
      <c r="C88" t="inlineStr">
        <is>
          <t>GAS</t>
        </is>
      </c>
      <c r="D88">
        <f>'Payroll Summary'!M11</f>
        <v/>
      </c>
    </row>
    <row r="89">
      <c r="A89">
        <f>A88</f>
        <v/>
      </c>
      <c r="B89">
        <f>B88</f>
        <v/>
      </c>
      <c r="C89" t="inlineStr">
        <is>
          <t>PRVLED</t>
        </is>
      </c>
      <c r="D89">
        <f>'Payroll Summary'!N11</f>
        <v/>
      </c>
    </row>
    <row r="90">
      <c r="A90">
        <f>'Payroll Summary'!B12</f>
        <v/>
      </c>
      <c r="B90">
        <f>'Payroll Summary'!A12</f>
        <v/>
      </c>
      <c r="C90" t="inlineStr">
        <is>
          <t>AL</t>
        </is>
      </c>
      <c r="D90">
        <f>'Payroll Summary'!J12</f>
        <v/>
      </c>
    </row>
    <row r="91">
      <c r="A91">
        <f>A90</f>
        <v/>
      </c>
      <c r="B91">
        <f>B90</f>
        <v/>
      </c>
      <c r="C91" t="inlineStr">
        <is>
          <t>BS</t>
        </is>
      </c>
      <c r="D91">
        <f>'Payroll Summary'!D12</f>
        <v/>
      </c>
    </row>
    <row r="92">
      <c r="A92">
        <f>A91</f>
        <v/>
      </c>
      <c r="B92">
        <f>B91</f>
        <v/>
      </c>
      <c r="C92" t="inlineStr">
        <is>
          <t>DT</t>
        </is>
      </c>
      <c r="D92">
        <f>'Payroll Summary'!F12</f>
        <v/>
      </c>
    </row>
    <row r="93">
      <c r="A93">
        <f>A92</f>
        <v/>
      </c>
      <c r="B93">
        <f>B92</f>
        <v/>
      </c>
      <c r="C93" t="inlineStr">
        <is>
          <t>R</t>
        </is>
      </c>
      <c r="D93">
        <f>'Payroll Summary'!G12</f>
        <v/>
      </c>
    </row>
    <row r="94">
      <c r="A94">
        <f>A93</f>
        <v/>
      </c>
      <c r="B94">
        <f>B93</f>
        <v/>
      </c>
      <c r="C94" t="inlineStr">
        <is>
          <t>I</t>
        </is>
      </c>
      <c r="D94">
        <f>'Payroll Summary'!O12</f>
        <v/>
      </c>
    </row>
    <row r="95">
      <c r="A95">
        <f>A94</f>
        <v/>
      </c>
      <c r="B95">
        <f>B94</f>
        <v/>
      </c>
      <c r="C95" t="inlineStr">
        <is>
          <t>MA</t>
        </is>
      </c>
      <c r="D95">
        <f>'Payroll Summary'!I12</f>
        <v/>
      </c>
    </row>
    <row r="96">
      <c r="A96">
        <f>A95</f>
        <v/>
      </c>
      <c r="B96">
        <f>B95</f>
        <v/>
      </c>
      <c r="C96" t="inlineStr">
        <is>
          <t>OT</t>
        </is>
      </c>
      <c r="D96">
        <f>'Payroll Summary'!E12</f>
        <v/>
      </c>
    </row>
    <row r="97">
      <c r="A97">
        <f>A96</f>
        <v/>
      </c>
      <c r="B97">
        <f>B96</f>
        <v/>
      </c>
      <c r="C97" t="inlineStr">
        <is>
          <t>RA</t>
        </is>
      </c>
      <c r="D97">
        <f>'Payroll Summary'!H12</f>
        <v/>
      </c>
    </row>
    <row r="98">
      <c r="A98">
        <f>A97</f>
        <v/>
      </c>
      <c r="B98">
        <f>B97</f>
        <v/>
      </c>
      <c r="C98" t="inlineStr">
        <is>
          <t xml:space="preserve"> STATIONALLOWANC</t>
        </is>
      </c>
      <c r="D98">
        <f>'Payroll Summary'!L12</f>
        <v/>
      </c>
    </row>
    <row r="99">
      <c r="A99">
        <f>A98</f>
        <v/>
      </c>
      <c r="B99">
        <f>B98</f>
        <v/>
      </c>
      <c r="C99" t="inlineStr">
        <is>
          <t>GAS</t>
        </is>
      </c>
      <c r="D99">
        <f>'Payroll Summary'!M12</f>
        <v/>
      </c>
    </row>
    <row r="100">
      <c r="A100">
        <f>A99</f>
        <v/>
      </c>
      <c r="B100">
        <f>B99</f>
        <v/>
      </c>
      <c r="C100" t="inlineStr">
        <is>
          <t>PRVLED</t>
        </is>
      </c>
      <c r="D100">
        <f>'Payroll Summary'!N12</f>
        <v/>
      </c>
    </row>
    <row r="101">
      <c r="A101">
        <f>'Payroll Summary'!B13</f>
        <v/>
      </c>
      <c r="B101">
        <f>'Payroll Summary'!A13</f>
        <v/>
      </c>
      <c r="C101" t="inlineStr">
        <is>
          <t>AL</t>
        </is>
      </c>
      <c r="D101">
        <f>'Payroll Summary'!J13</f>
        <v/>
      </c>
    </row>
    <row r="102">
      <c r="A102">
        <f>A101</f>
        <v/>
      </c>
      <c r="B102">
        <f>B101</f>
        <v/>
      </c>
      <c r="C102" t="inlineStr">
        <is>
          <t>BS</t>
        </is>
      </c>
      <c r="D102">
        <f>'Payroll Summary'!D13</f>
        <v/>
      </c>
    </row>
    <row r="103">
      <c r="A103">
        <f>A102</f>
        <v/>
      </c>
      <c r="B103">
        <f>B102</f>
        <v/>
      </c>
      <c r="C103" t="inlineStr">
        <is>
          <t>DT</t>
        </is>
      </c>
      <c r="D103">
        <f>'Payroll Summary'!F13</f>
        <v/>
      </c>
    </row>
    <row r="104">
      <c r="A104">
        <f>A103</f>
        <v/>
      </c>
      <c r="B104">
        <f>B103</f>
        <v/>
      </c>
      <c r="C104" t="inlineStr">
        <is>
          <t>R</t>
        </is>
      </c>
      <c r="D104">
        <f>'Payroll Summary'!G13</f>
        <v/>
      </c>
    </row>
    <row r="105">
      <c r="A105">
        <f>A104</f>
        <v/>
      </c>
      <c r="B105">
        <f>B104</f>
        <v/>
      </c>
      <c r="C105" t="inlineStr">
        <is>
          <t>I</t>
        </is>
      </c>
      <c r="D105">
        <f>'Payroll Summary'!O13</f>
        <v/>
      </c>
    </row>
    <row r="106">
      <c r="A106">
        <f>A105</f>
        <v/>
      </c>
      <c r="B106">
        <f>B105</f>
        <v/>
      </c>
      <c r="C106" t="inlineStr">
        <is>
          <t>MA</t>
        </is>
      </c>
      <c r="D106">
        <f>'Payroll Summary'!I13</f>
        <v/>
      </c>
    </row>
    <row r="107">
      <c r="A107">
        <f>A106</f>
        <v/>
      </c>
      <c r="B107">
        <f>B106</f>
        <v/>
      </c>
      <c r="C107" t="inlineStr">
        <is>
          <t>OT</t>
        </is>
      </c>
      <c r="D107">
        <f>'Payroll Summary'!E13</f>
        <v/>
      </c>
    </row>
    <row r="108">
      <c r="A108">
        <f>A107</f>
        <v/>
      </c>
      <c r="B108">
        <f>B107</f>
        <v/>
      </c>
      <c r="C108" t="inlineStr">
        <is>
          <t>RA</t>
        </is>
      </c>
      <c r="D108">
        <f>'Payroll Summary'!H13</f>
        <v/>
      </c>
    </row>
    <row r="109">
      <c r="A109">
        <f>A108</f>
        <v/>
      </c>
      <c r="B109">
        <f>B108</f>
        <v/>
      </c>
      <c r="C109" t="inlineStr">
        <is>
          <t xml:space="preserve"> STATIONALLOWANC</t>
        </is>
      </c>
      <c r="D109">
        <f>'Payroll Summary'!L13</f>
        <v/>
      </c>
    </row>
    <row r="110">
      <c r="A110">
        <f>A109</f>
        <v/>
      </c>
      <c r="B110">
        <f>B109</f>
        <v/>
      </c>
      <c r="C110" t="inlineStr">
        <is>
          <t>GAS</t>
        </is>
      </c>
      <c r="D110">
        <f>'Payroll Summary'!M13</f>
        <v/>
      </c>
    </row>
    <row r="111">
      <c r="A111">
        <f>A110</f>
        <v/>
      </c>
      <c r="B111">
        <f>B110</f>
        <v/>
      </c>
      <c r="C111" t="inlineStr">
        <is>
          <t>PRVLED</t>
        </is>
      </c>
      <c r="D111">
        <f>'Payroll Summary'!N13</f>
        <v/>
      </c>
    </row>
    <row r="112">
      <c r="A112">
        <f>'Payroll Summary'!B14</f>
        <v/>
      </c>
      <c r="B112">
        <f>'Payroll Summary'!A14</f>
        <v/>
      </c>
      <c r="C112" t="inlineStr">
        <is>
          <t>AL</t>
        </is>
      </c>
      <c r="D112">
        <f>'Payroll Summary'!J14</f>
        <v/>
      </c>
    </row>
    <row r="113">
      <c r="A113">
        <f>A112</f>
        <v/>
      </c>
      <c r="B113">
        <f>B112</f>
        <v/>
      </c>
      <c r="C113" t="inlineStr">
        <is>
          <t>BS</t>
        </is>
      </c>
      <c r="D113">
        <f>'Payroll Summary'!D14</f>
        <v/>
      </c>
    </row>
    <row r="114">
      <c r="A114">
        <f>A113</f>
        <v/>
      </c>
      <c r="B114">
        <f>B113</f>
        <v/>
      </c>
      <c r="C114" t="inlineStr">
        <is>
          <t>DT</t>
        </is>
      </c>
      <c r="D114">
        <f>'Payroll Summary'!F14</f>
        <v/>
      </c>
    </row>
    <row r="115">
      <c r="A115">
        <f>A114</f>
        <v/>
      </c>
      <c r="B115">
        <f>B114</f>
        <v/>
      </c>
      <c r="C115" t="inlineStr">
        <is>
          <t>R</t>
        </is>
      </c>
      <c r="D115">
        <f>'Payroll Summary'!G14</f>
        <v/>
      </c>
    </row>
    <row r="116">
      <c r="A116">
        <f>A115</f>
        <v/>
      </c>
      <c r="B116">
        <f>B115</f>
        <v/>
      </c>
      <c r="C116" t="inlineStr">
        <is>
          <t>I</t>
        </is>
      </c>
      <c r="D116">
        <f>'Payroll Summary'!O14</f>
        <v/>
      </c>
    </row>
    <row r="117">
      <c r="A117">
        <f>A116</f>
        <v/>
      </c>
      <c r="B117">
        <f>B116</f>
        <v/>
      </c>
      <c r="C117" t="inlineStr">
        <is>
          <t>MA</t>
        </is>
      </c>
      <c r="D117">
        <f>'Payroll Summary'!I14</f>
        <v/>
      </c>
    </row>
    <row r="118">
      <c r="A118">
        <f>A117</f>
        <v/>
      </c>
      <c r="B118">
        <f>B117</f>
        <v/>
      </c>
      <c r="C118" t="inlineStr">
        <is>
          <t>OT</t>
        </is>
      </c>
      <c r="D118">
        <f>'Payroll Summary'!E14</f>
        <v/>
      </c>
    </row>
    <row r="119">
      <c r="A119">
        <f>A118</f>
        <v/>
      </c>
      <c r="B119">
        <f>B118</f>
        <v/>
      </c>
      <c r="C119" t="inlineStr">
        <is>
          <t>RA</t>
        </is>
      </c>
      <c r="D119">
        <f>'Payroll Summary'!H14</f>
        <v/>
      </c>
    </row>
    <row r="120">
      <c r="A120">
        <f>A119</f>
        <v/>
      </c>
      <c r="B120">
        <f>B119</f>
        <v/>
      </c>
      <c r="C120" t="inlineStr">
        <is>
          <t xml:space="preserve"> STATIONALLOWANC</t>
        </is>
      </c>
      <c r="D120">
        <f>'Payroll Summary'!L14</f>
        <v/>
      </c>
    </row>
    <row r="121">
      <c r="A121">
        <f>A120</f>
        <v/>
      </c>
      <c r="B121">
        <f>B120</f>
        <v/>
      </c>
      <c r="C121" t="inlineStr">
        <is>
          <t>GAS</t>
        </is>
      </c>
      <c r="D121">
        <f>'Payroll Summary'!M14</f>
        <v/>
      </c>
    </row>
    <row r="122">
      <c r="A122">
        <f>A121</f>
        <v/>
      </c>
      <c r="B122">
        <f>B121</f>
        <v/>
      </c>
      <c r="C122" t="inlineStr">
        <is>
          <t>PRVLED</t>
        </is>
      </c>
      <c r="D122">
        <f>'Payroll Summary'!N14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3" topLeftCell="A4" activePane="bottomLeft" state="frozen"/>
      <selection pane="bottomLeft" activeCell="O4" sqref="O4"/>
    </sheetView>
  </sheetViews>
  <sheetFormatPr baseColWidth="8" defaultRowHeight="15"/>
  <cols>
    <col width="14" customWidth="1" style="328" min="1" max="6"/>
    <col width="18" customWidth="1" style="328" min="7" max="7"/>
    <col width="14" customWidth="1" style="328" min="8" max="9"/>
    <col width="18" customWidth="1" style="328" min="10" max="11"/>
    <col width="12" customWidth="1" style="328" min="12" max="12"/>
    <col width="10" customWidth="1" style="328" min="13" max="13"/>
    <col width="16" customWidth="1" style="328" min="14" max="14"/>
    <col width="10" customWidth="1" style="328" min="15" max="15"/>
  </cols>
  <sheetData>
    <row r="1" ht="24" customHeight="1" s="328">
      <c r="A1" s="336" t="inlineStr">
        <is>
          <t>Master Payroll Summary</t>
        </is>
      </c>
      <c r="B1" s="337" t="n"/>
      <c r="C1" s="337" t="n"/>
      <c r="D1" s="337" t="n"/>
      <c r="E1" s="337" t="n"/>
      <c r="F1" s="337" t="n"/>
      <c r="G1" s="337" t="n"/>
      <c r="H1" s="337" t="n"/>
      <c r="I1" s="337" t="n"/>
      <c r="J1" s="337" t="n"/>
      <c r="K1" s="337" t="n"/>
      <c r="L1" s="337" t="n"/>
      <c r="M1" s="337" t="n"/>
      <c r="N1" s="337" t="n"/>
      <c r="O1" s="337" t="n"/>
      <c r="P1" s="337" t="n"/>
    </row>
    <row r="2">
      <c r="A2" s="337" t="n"/>
      <c r="B2" s="337" t="n"/>
      <c r="C2" s="337" t="n"/>
      <c r="D2" s="337" t="n"/>
      <c r="E2" s="337" t="n"/>
      <c r="F2" s="337" t="n"/>
      <c r="G2" s="337" t="n"/>
      <c r="H2" s="337" t="n"/>
      <c r="I2" s="337" t="n"/>
      <c r="J2" s="337" t="n"/>
      <c r="K2" s="337" t="n"/>
      <c r="L2" s="337" t="n"/>
      <c r="M2" s="337" t="n"/>
      <c r="N2" s="337" t="n"/>
      <c r="O2" s="337" t="n"/>
      <c r="P2" s="337" t="n"/>
    </row>
    <row r="3">
      <c r="A3" s="155" t="inlineStr">
        <is>
          <t>Name</t>
        </is>
      </c>
      <c r="B3" s="155" t="inlineStr">
        <is>
          <t>Number</t>
        </is>
      </c>
      <c r="C3" s="155" t="inlineStr">
        <is>
          <t>Agency</t>
        </is>
      </c>
      <c r="D3" s="155" t="inlineStr">
        <is>
          <t>Basic Hrs</t>
        </is>
      </c>
      <c r="E3" s="155" t="inlineStr">
        <is>
          <t>Overtime Hrs</t>
        </is>
      </c>
      <c r="F3" s="155" t="inlineStr">
        <is>
          <t>Hol Hrs</t>
        </is>
      </c>
      <c r="G3" s="155" t="inlineStr">
        <is>
          <t>Responsibilities</t>
        </is>
      </c>
      <c r="H3" s="155" t="inlineStr">
        <is>
          <t>Risk</t>
        </is>
      </c>
      <c r="I3" s="155" t="inlineStr">
        <is>
          <t>Meals</t>
        </is>
      </c>
      <c r="J3" s="155" t="inlineStr">
        <is>
          <t>Annual Leave Hrs</t>
        </is>
      </c>
      <c r="K3" s="155" t="inlineStr">
        <is>
          <t>Days Worked</t>
        </is>
      </c>
      <c r="L3" s="326" t="inlineStr">
        <is>
          <t>Station Allow</t>
        </is>
      </c>
      <c r="M3" s="326" t="inlineStr">
        <is>
          <t>Gas Allow</t>
        </is>
      </c>
      <c r="N3" s="326" t="inlineStr">
        <is>
          <t>Project Mgmt Allow</t>
        </is>
      </c>
      <c r="O3" s="326" t="inlineStr">
        <is>
          <t>Incentive</t>
        </is>
      </c>
      <c r="P3" s="337" t="n"/>
    </row>
    <row r="4">
      <c r="A4" s="154">
        <f>'Daniels, John Llewellyn'!M5</f>
        <v/>
      </c>
      <c r="B4" s="154">
        <f>'Daniels, John Llewellyn'!M4</f>
        <v/>
      </c>
      <c r="C4" s="154">
        <f>'Daniels, John Llewellyn'!O7</f>
        <v/>
      </c>
      <c r="D4" s="154">
        <f>'Daniels, John Llewellyn'!M49</f>
        <v/>
      </c>
      <c r="E4" s="154">
        <f>'Daniels, John Llewellyn'!N49</f>
        <v/>
      </c>
      <c r="F4" s="154">
        <f>'Daniels, John Llewellyn'!O49</f>
        <v/>
      </c>
      <c r="G4" s="154">
        <f>'Daniels, John Llewellyn'!P49</f>
        <v/>
      </c>
      <c r="H4" s="154">
        <f>'Daniels, John Llewellyn'!Q49</f>
        <v/>
      </c>
      <c r="I4" s="154">
        <f>'Daniels, John Llewellyn'!R49</f>
        <v/>
      </c>
      <c r="J4" s="154">
        <f>'Daniels, John Llewellyn'!S49</f>
        <v/>
      </c>
      <c r="K4" s="154">
        <f>'Daniels, John Llewellyn'!Q50</f>
        <v/>
      </c>
      <c r="L4" s="327" t="n">
        <v>0</v>
      </c>
      <c r="M4" s="327" t="n">
        <v>0</v>
      </c>
      <c r="N4" s="327" t="n">
        <v>0</v>
      </c>
      <c r="O4" s="327" t="n">
        <v>0</v>
      </c>
      <c r="P4" s="337" t="n"/>
    </row>
    <row r="5">
      <c r="A5" s="154">
        <f>'Ridley, Theresa'!M5</f>
        <v/>
      </c>
      <c r="B5" s="154">
        <f>'Ridley, Theresa'!M4</f>
        <v/>
      </c>
      <c r="C5" s="154">
        <f>'Ridley, Theresa'!O7</f>
        <v/>
      </c>
      <c r="D5" s="154">
        <f>'Ridley, Theresa'!M49</f>
        <v/>
      </c>
      <c r="E5" s="154">
        <f>'Ridley, Theresa'!N49</f>
        <v/>
      </c>
      <c r="F5" s="154">
        <f>'Ridley, Theresa'!O49</f>
        <v/>
      </c>
      <c r="G5" s="154">
        <f>'Ridley, Theresa'!P49</f>
        <v/>
      </c>
      <c r="H5" s="154">
        <f>'Ridley, Theresa'!Q49</f>
        <v/>
      </c>
      <c r="I5" s="154">
        <f>'Ridley, Theresa'!R49</f>
        <v/>
      </c>
      <c r="J5" s="154">
        <f>'Ridley, Theresa'!S49</f>
        <v/>
      </c>
      <c r="K5" s="154">
        <f>'Ridley, Theresa'!Q50</f>
        <v/>
      </c>
      <c r="L5" s="327" t="n">
        <v>0</v>
      </c>
      <c r="M5" s="327" t="n">
        <v>0</v>
      </c>
      <c r="N5" s="327" t="n">
        <v>0</v>
      </c>
      <c r="O5" s="327" t="n">
        <v>0</v>
      </c>
      <c r="P5" s="337" t="n"/>
    </row>
    <row r="6">
      <c r="A6" s="154">
        <f>'Browne, Francianna Milissa'!M5</f>
        <v/>
      </c>
      <c r="B6" s="154">
        <f>'Browne, Francianna Milissa'!M4</f>
        <v/>
      </c>
      <c r="C6" s="154">
        <f>'Browne, Francianna Milissa'!O7</f>
        <v/>
      </c>
      <c r="D6" s="154">
        <f>'Browne, Francianna Milissa'!M49</f>
        <v/>
      </c>
      <c r="E6" s="154">
        <f>'Browne, Francianna Milissa'!N49</f>
        <v/>
      </c>
      <c r="F6" s="154">
        <f>'Browne, Francianna Milissa'!O49</f>
        <v/>
      </c>
      <c r="G6" s="154">
        <f>'Browne, Francianna Milissa'!P49</f>
        <v/>
      </c>
      <c r="H6" s="154">
        <f>'Browne, Francianna Milissa'!Q49</f>
        <v/>
      </c>
      <c r="I6" s="154">
        <f>'Browne, Francianna Milissa'!R49</f>
        <v/>
      </c>
      <c r="J6" s="154">
        <f>'Browne, Francianna Milissa'!S49</f>
        <v/>
      </c>
      <c r="K6" s="154">
        <f>'Browne, Francianna Milissa'!Q50</f>
        <v/>
      </c>
      <c r="L6" s="327" t="n">
        <v>0</v>
      </c>
      <c r="M6" s="327" t="n">
        <v>0</v>
      </c>
      <c r="N6" s="327" t="n">
        <v>0</v>
      </c>
      <c r="O6" s="327" t="n">
        <v>0</v>
      </c>
      <c r="P6" s="337" t="n"/>
    </row>
    <row r="7">
      <c r="A7" s="154">
        <f>'Henry, Colin Vincent'!M5</f>
        <v/>
      </c>
      <c r="B7" s="154">
        <f>'Henry, Colin Vincent'!M4</f>
        <v/>
      </c>
      <c r="C7" s="154">
        <f>'Henry, Colin Vincent'!O7</f>
        <v/>
      </c>
      <c r="D7" s="154">
        <f>'Henry, Colin Vincent'!M49</f>
        <v/>
      </c>
      <c r="E7" s="154">
        <f>'Henry, Colin Vincent'!N49</f>
        <v/>
      </c>
      <c r="F7" s="154">
        <f>'Henry, Colin Vincent'!O49</f>
        <v/>
      </c>
      <c r="G7" s="154">
        <f>'Henry, Colin Vincent'!P49</f>
        <v/>
      </c>
      <c r="H7" s="154">
        <f>'Henry, Colin Vincent'!Q49</f>
        <v/>
      </c>
      <c r="I7" s="154">
        <f>'Henry, Colin Vincent'!R49</f>
        <v/>
      </c>
      <c r="J7" s="154">
        <f>'Henry, Colin Vincent'!S49</f>
        <v/>
      </c>
      <c r="K7" s="154">
        <f>'Henry, Colin Vincent'!Q50</f>
        <v/>
      </c>
      <c r="L7" s="327" t="n">
        <v>0</v>
      </c>
      <c r="M7" s="327" t="n">
        <v>0</v>
      </c>
      <c r="N7" s="327" t="n">
        <v>0</v>
      </c>
      <c r="O7" s="327" t="n">
        <v>0</v>
      </c>
      <c r="P7" s="337" t="n"/>
    </row>
    <row r="8">
      <c r="A8" s="154">
        <f>'Dorsett, Susan Patricia'!M5</f>
        <v/>
      </c>
      <c r="B8" s="154">
        <f>'Dorsett, Susan Patricia'!M4</f>
        <v/>
      </c>
      <c r="C8" s="154">
        <f>'Dorsett, Susan Patricia'!O7</f>
        <v/>
      </c>
      <c r="D8" s="154">
        <f>'Dorsett, Susan Patricia'!M49</f>
        <v/>
      </c>
      <c r="E8" s="154">
        <f>'Dorsett, Susan Patricia'!N49</f>
        <v/>
      </c>
      <c r="F8" s="154">
        <f>'Dorsett, Susan Patricia'!O49</f>
        <v/>
      </c>
      <c r="G8" s="154">
        <f>'Dorsett, Susan Patricia'!P49</f>
        <v/>
      </c>
      <c r="H8" s="154">
        <f>'Dorsett, Susan Patricia'!Q49</f>
        <v/>
      </c>
      <c r="I8" s="154">
        <f>'Dorsett, Susan Patricia'!R49</f>
        <v/>
      </c>
      <c r="J8" s="154">
        <f>'Dorsett, Susan Patricia'!S49</f>
        <v/>
      </c>
      <c r="K8" s="154">
        <f>'Dorsett, Susan Patricia'!Q50</f>
        <v/>
      </c>
      <c r="L8" s="327" t="n">
        <v>0</v>
      </c>
      <c r="M8" s="327" t="n">
        <v>0</v>
      </c>
      <c r="N8" s="327" t="n">
        <v>0</v>
      </c>
      <c r="O8" s="327" t="n">
        <v>0</v>
      </c>
      <c r="P8" s="337" t="n"/>
    </row>
    <row r="9">
      <c r="A9" s="154">
        <f>'Pearson, Roslyn Andrea'!M5</f>
        <v/>
      </c>
      <c r="B9" s="154">
        <f>'Pearson, Roslyn Andrea'!M4</f>
        <v/>
      </c>
      <c r="C9" s="154">
        <f>'Pearson, Roslyn Andrea'!O7</f>
        <v/>
      </c>
      <c r="D9" s="154">
        <f>'Pearson, Roslyn Andrea'!M49</f>
        <v/>
      </c>
      <c r="E9" s="154">
        <f>'Pearson, Roslyn Andrea'!N49</f>
        <v/>
      </c>
      <c r="F9" s="154">
        <f>'Pearson, Roslyn Andrea'!O49</f>
        <v/>
      </c>
      <c r="G9" s="154">
        <f>'Pearson, Roslyn Andrea'!P49</f>
        <v/>
      </c>
      <c r="H9" s="154">
        <f>'Pearson, Roslyn Andrea'!Q49</f>
        <v/>
      </c>
      <c r="I9" s="154">
        <f>'Pearson, Roslyn Andrea'!R49</f>
        <v/>
      </c>
      <c r="J9" s="154">
        <f>'Pearson, Roslyn Andrea'!S49</f>
        <v/>
      </c>
      <c r="K9" s="154">
        <f>'Pearson, Roslyn Andrea'!Q50</f>
        <v/>
      </c>
      <c r="L9" s="327" t="n">
        <v>0</v>
      </c>
      <c r="M9" s="327" t="n">
        <v>0</v>
      </c>
      <c r="N9" s="327" t="n">
        <v>0</v>
      </c>
      <c r="O9" s="327" t="n">
        <v>0</v>
      </c>
      <c r="P9" s="337" t="n"/>
    </row>
    <row r="10">
      <c r="A10" s="154">
        <f>'Barnes, Mauva'!M5</f>
        <v/>
      </c>
      <c r="B10" s="154">
        <f>'Barnes, Mauva'!M4</f>
        <v/>
      </c>
      <c r="C10" s="154">
        <f>'Barnes, Mauva'!O7</f>
        <v/>
      </c>
      <c r="D10" s="154">
        <f>'Barnes, Mauva'!M49</f>
        <v/>
      </c>
      <c r="E10" s="154">
        <f>'Barnes, Mauva'!N49</f>
        <v/>
      </c>
      <c r="F10" s="154">
        <f>'Barnes, Mauva'!O49</f>
        <v/>
      </c>
      <c r="G10" s="154">
        <f>'Barnes, Mauva'!P49</f>
        <v/>
      </c>
      <c r="H10" s="154">
        <f>'Barnes, Mauva'!Q49</f>
        <v/>
      </c>
      <c r="I10" s="154">
        <f>'Barnes, Mauva'!R49</f>
        <v/>
      </c>
      <c r="J10" s="154">
        <f>'Barnes, Mauva'!S49</f>
        <v/>
      </c>
      <c r="K10" s="154">
        <f>'Barnes, Mauva'!Q50</f>
        <v/>
      </c>
      <c r="L10" s="327" t="n">
        <v>0</v>
      </c>
      <c r="M10" s="327" t="n">
        <v>0</v>
      </c>
      <c r="N10" s="327" t="n">
        <v>0</v>
      </c>
      <c r="O10" s="327" t="n">
        <v>0</v>
      </c>
      <c r="P10" s="337" t="n"/>
    </row>
    <row r="11">
      <c r="A11" s="154">
        <f>'Proffitt, Clive Rodericks'!M5</f>
        <v/>
      </c>
      <c r="B11" s="154">
        <f>'Proffitt, Clive Rodericks'!M4</f>
        <v/>
      </c>
      <c r="C11" s="154">
        <f>'Proffitt, Clive Rodericks'!O7</f>
        <v/>
      </c>
      <c r="D11" s="154">
        <f>'Proffitt, Clive Rodericks'!M49</f>
        <v/>
      </c>
      <c r="E11" s="154">
        <f>'Proffitt, Clive Rodericks'!N49</f>
        <v/>
      </c>
      <c r="F11" s="154">
        <f>'Proffitt, Clive Rodericks'!O49</f>
        <v/>
      </c>
      <c r="G11" s="154">
        <f>'Proffitt, Clive Rodericks'!P49</f>
        <v/>
      </c>
      <c r="H11" s="154">
        <f>'Proffitt, Clive Rodericks'!Q49</f>
        <v/>
      </c>
      <c r="I11" s="154">
        <f>'Proffitt, Clive Rodericks'!R49</f>
        <v/>
      </c>
      <c r="J11" s="154">
        <f>'Proffitt, Clive Rodericks'!S49</f>
        <v/>
      </c>
      <c r="K11" s="154">
        <f>'Proffitt, Clive Rodericks'!Q50</f>
        <v/>
      </c>
      <c r="L11" s="327" t="n">
        <v>0</v>
      </c>
      <c r="M11" s="327" t="n">
        <v>0</v>
      </c>
      <c r="N11" s="327" t="n">
        <v>0</v>
      </c>
      <c r="O11" s="327" t="n">
        <v>0</v>
      </c>
      <c r="P11" s="337" t="n"/>
    </row>
    <row r="12">
      <c r="A12" s="154">
        <f>'Spencer, Shemar Ethy'!M5</f>
        <v/>
      </c>
      <c r="B12" s="154">
        <f>'Spencer, Shemar Ethy'!M4</f>
        <v/>
      </c>
      <c r="C12" s="154">
        <f>'Spencer, Shemar Ethy'!O7</f>
        <v/>
      </c>
      <c r="D12" s="154">
        <f>'Spencer, Shemar Ethy'!M49</f>
        <v/>
      </c>
      <c r="E12" s="154">
        <f>'Spencer, Shemar Ethy'!N49</f>
        <v/>
      </c>
      <c r="F12" s="154">
        <f>'Spencer, Shemar Ethy'!O49</f>
        <v/>
      </c>
      <c r="G12" s="154">
        <f>'Spencer, Shemar Ethy'!P49</f>
        <v/>
      </c>
      <c r="H12" s="154">
        <f>'Spencer, Shemar Ethy'!Q49</f>
        <v/>
      </c>
      <c r="I12" s="154">
        <f>'Spencer, Shemar Ethy'!R49</f>
        <v/>
      </c>
      <c r="J12" s="154">
        <f>'Spencer, Shemar Ethy'!S49</f>
        <v/>
      </c>
      <c r="K12" s="154">
        <f>'Spencer, Shemar Ethy'!Q50</f>
        <v/>
      </c>
      <c r="L12" s="327" t="n">
        <v>0</v>
      </c>
      <c r="M12" s="327" t="n">
        <v>0</v>
      </c>
      <c r="N12" s="327" t="n">
        <v>0</v>
      </c>
      <c r="O12" s="327" t="n">
        <v>0</v>
      </c>
      <c r="P12" s="337" t="n"/>
    </row>
    <row r="13">
      <c r="A13" s="154">
        <f>'Whinfield, Merlyn Beatrice'!M5</f>
        <v/>
      </c>
      <c r="B13" s="154">
        <f>'Whinfield, Merlyn Beatrice'!M4</f>
        <v/>
      </c>
      <c r="C13" s="154">
        <f>'Whinfield, Merlyn Beatrice'!O7</f>
        <v/>
      </c>
      <c r="D13" s="154">
        <f>'Whinfield, Merlyn Beatrice'!M49</f>
        <v/>
      </c>
      <c r="E13" s="154">
        <f>'Whinfield, Merlyn Beatrice'!N49</f>
        <v/>
      </c>
      <c r="F13" s="154">
        <f>'Whinfield, Merlyn Beatrice'!O49</f>
        <v/>
      </c>
      <c r="G13" s="154">
        <f>'Whinfield, Merlyn Beatrice'!P49</f>
        <v/>
      </c>
      <c r="H13" s="154">
        <f>'Whinfield, Merlyn Beatrice'!Q49</f>
        <v/>
      </c>
      <c r="I13" s="154">
        <f>'Whinfield, Merlyn Beatrice'!R49</f>
        <v/>
      </c>
      <c r="J13" s="154">
        <f>'Whinfield, Merlyn Beatrice'!S49</f>
        <v/>
      </c>
      <c r="K13" s="154">
        <f>'Whinfield, Merlyn Beatrice'!Q50</f>
        <v/>
      </c>
      <c r="L13" s="327" t="n">
        <v>0</v>
      </c>
      <c r="M13" s="327" t="n">
        <v>0</v>
      </c>
      <c r="N13" s="327" t="n">
        <v>0</v>
      </c>
      <c r="O13" s="327" t="n">
        <v>0</v>
      </c>
      <c r="P13" s="337" t="n"/>
    </row>
    <row r="14">
      <c r="A14" s="154">
        <f>'David, Jewelle Phillipa'!M5</f>
        <v/>
      </c>
      <c r="B14" s="154">
        <f>'David, Jewelle Phillipa'!M4</f>
        <v/>
      </c>
      <c r="C14" s="154">
        <f>'David, Jewelle Phillipa'!O7</f>
        <v/>
      </c>
      <c r="D14" s="154">
        <f>'David, Jewelle Phillipa'!M49</f>
        <v/>
      </c>
      <c r="E14" s="154">
        <f>'David, Jewelle Phillipa'!N49</f>
        <v/>
      </c>
      <c r="F14" s="154">
        <f>'David, Jewelle Phillipa'!O49</f>
        <v/>
      </c>
      <c r="G14" s="154">
        <f>'David, Jewelle Phillipa'!P49</f>
        <v/>
      </c>
      <c r="H14" s="154">
        <f>'David, Jewelle Phillipa'!Q49</f>
        <v/>
      </c>
      <c r="I14" s="154">
        <f>'David, Jewelle Phillipa'!R49</f>
        <v/>
      </c>
      <c r="J14" s="154">
        <f>'David, Jewelle Phillipa'!S49</f>
        <v/>
      </c>
      <c r="K14" s="154">
        <f>'David, Jewelle Phillipa'!Q50</f>
        <v/>
      </c>
      <c r="L14" s="327" t="n">
        <v>0</v>
      </c>
      <c r="M14" s="327" t="n">
        <v>0</v>
      </c>
      <c r="N14" s="327" t="n">
        <v>0</v>
      </c>
      <c r="O14" s="327" t="n">
        <v>0</v>
      </c>
      <c r="P14" s="337" t="n"/>
    </row>
    <row r="15">
      <c r="A15" s="304" t="n"/>
      <c r="B15" s="304" t="n"/>
      <c r="C15" s="304" t="n"/>
      <c r="D15" s="304" t="n"/>
      <c r="E15" s="304" t="n"/>
      <c r="F15" s="304" t="n"/>
      <c r="G15" s="304" t="n"/>
      <c r="H15" s="304" t="n"/>
      <c r="I15" s="304" t="n"/>
      <c r="J15" s="304" t="n"/>
      <c r="K15" s="304" t="n"/>
      <c r="L15" s="337" t="n"/>
      <c r="M15" s="337" t="n"/>
      <c r="N15" s="337" t="n"/>
      <c r="O15" s="337" t="n"/>
      <c r="P15" s="337" t="n"/>
    </row>
    <row r="16">
      <c r="A16" s="305" t="inlineStr">
        <is>
          <t>TOTAL</t>
        </is>
      </c>
      <c r="B16" s="304" t="n"/>
      <c r="C16" s="304" t="n"/>
      <c r="D16" s="154">
        <f>SUM(D4:D14)</f>
        <v/>
      </c>
      <c r="E16" s="154">
        <f>SUM(E4:E14)</f>
        <v/>
      </c>
      <c r="F16" s="154">
        <f>SUM(F4:F14)</f>
        <v/>
      </c>
      <c r="G16" s="154">
        <f>SUM(G4:G14)</f>
        <v/>
      </c>
      <c r="H16" s="154">
        <f>SUM(H4:H14)</f>
        <v/>
      </c>
      <c r="I16" s="154">
        <f>SUM(I4:I14)</f>
        <v/>
      </c>
      <c r="J16" s="154">
        <f>SUM(J4:J14)</f>
        <v/>
      </c>
      <c r="K16" s="154">
        <f>SUM(K4:K14)</f>
        <v/>
      </c>
      <c r="L16" s="337">
        <f>SUM(L4:L15)</f>
        <v/>
      </c>
      <c r="M16" s="337" t="n"/>
      <c r="N16" s="337" t="n"/>
      <c r="O16" s="337" t="n"/>
      <c r="P16" s="337" t="n"/>
    </row>
    <row r="17">
      <c r="A17" s="304" t="n"/>
      <c r="B17" s="304" t="n"/>
      <c r="C17" s="304" t="n"/>
      <c r="D17" s="304" t="n"/>
      <c r="E17" s="304" t="n"/>
      <c r="F17" s="304" t="n"/>
      <c r="G17" s="304" t="n"/>
      <c r="H17" s="304" t="n"/>
      <c r="I17" s="304" t="n"/>
      <c r="J17" s="304" t="n"/>
      <c r="K17" s="304" t="n"/>
      <c r="L17" s="337" t="n"/>
      <c r="M17" s="337" t="n"/>
      <c r="N17" s="337" t="n"/>
      <c r="O17" s="337" t="n"/>
      <c r="P17" s="337" t="n"/>
    </row>
    <row r="18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37" t="n"/>
      <c r="M18" s="337" t="n"/>
      <c r="N18" s="337" t="n"/>
      <c r="O18" s="337" t="n"/>
      <c r="P18" s="337" t="n"/>
    </row>
    <row r="19">
      <c r="A19" s="304" t="n"/>
      <c r="B19" s="304" t="n"/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37" t="n"/>
      <c r="M19" s="337" t="n"/>
      <c r="N19" s="337" t="n"/>
      <c r="O19" s="337" t="n"/>
      <c r="P19" s="337" t="n"/>
    </row>
    <row r="20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37" t="n"/>
      <c r="M20" s="337" t="n"/>
      <c r="N20" s="337" t="n"/>
      <c r="O20" s="337" t="n"/>
      <c r="P20" s="337" t="n"/>
    </row>
    <row r="21">
      <c r="A21" s="304" t="n"/>
      <c r="B21" s="304" t="n"/>
      <c r="C21" s="304" t="n"/>
      <c r="D21" s="304" t="n"/>
      <c r="E21" s="304" t="n"/>
      <c r="F21" s="304" t="n"/>
      <c r="G21" s="304" t="n"/>
      <c r="H21" s="304" t="n"/>
      <c r="I21" s="304" t="n"/>
      <c r="J21" s="304" t="n"/>
      <c r="K21" s="304" t="n"/>
      <c r="L21" s="337" t="n"/>
      <c r="M21" s="337" t="n"/>
      <c r="N21" s="337" t="n"/>
      <c r="O21" s="337" t="n"/>
      <c r="P21" s="337" t="n"/>
    </row>
    <row r="22">
      <c r="A22" s="304" t="n"/>
      <c r="B22" s="304" t="n"/>
      <c r="C22" s="304" t="n"/>
      <c r="D22" s="304" t="n"/>
      <c r="E22" s="304" t="n"/>
      <c r="F22" s="304" t="n"/>
      <c r="G22" s="304" t="n"/>
      <c r="H22" s="304" t="n"/>
      <c r="I22" s="304" t="n"/>
      <c r="J22" s="304" t="n"/>
      <c r="K22" s="304" t="n"/>
      <c r="L22" s="337" t="n"/>
      <c r="M22" s="337" t="n"/>
      <c r="N22" s="337" t="n"/>
      <c r="O22" s="337" t="n"/>
      <c r="P22" s="337" t="n"/>
    </row>
    <row r="23">
      <c r="A23" s="304" t="n"/>
      <c r="B23" s="304" t="n"/>
      <c r="C23" s="304" t="n"/>
      <c r="D23" s="304" t="n"/>
      <c r="E23" s="304" t="n"/>
      <c r="F23" s="304" t="n"/>
      <c r="G23" s="304" t="n"/>
      <c r="H23" s="304" t="n"/>
      <c r="I23" s="304" t="n"/>
      <c r="J23" s="304" t="n"/>
      <c r="K23" s="304" t="n"/>
      <c r="L23" s="337" t="n"/>
      <c r="M23" s="337" t="n"/>
      <c r="N23" s="337" t="n"/>
      <c r="O23" s="337" t="n"/>
      <c r="P23" s="337" t="n"/>
    </row>
    <row r="24">
      <c r="A24" s="304" t="n"/>
      <c r="B24" s="304" t="n"/>
      <c r="C24" s="304" t="n"/>
      <c r="D24" s="304" t="n"/>
      <c r="E24" s="304" t="n"/>
      <c r="F24" s="304" t="n"/>
      <c r="G24" s="304" t="n"/>
      <c r="H24" s="304" t="n"/>
      <c r="I24" s="304" t="n"/>
      <c r="J24" s="304" t="n"/>
      <c r="K24" s="304" t="n"/>
      <c r="L24" s="337" t="n"/>
      <c r="M24" s="337" t="n"/>
      <c r="N24" s="337" t="n"/>
      <c r="O24" s="337" t="n"/>
      <c r="P24" s="337" t="n"/>
    </row>
    <row r="25">
      <c r="A25" s="304" t="n"/>
      <c r="B25" s="304" t="n"/>
      <c r="C25" s="304" t="n"/>
      <c r="D25" s="304" t="n"/>
      <c r="E25" s="304" t="n"/>
      <c r="F25" s="304" t="n"/>
      <c r="G25" s="304" t="n"/>
      <c r="H25" s="304" t="n"/>
      <c r="I25" s="304" t="n"/>
      <c r="J25" s="304" t="n"/>
      <c r="K25" s="304" t="n"/>
      <c r="L25" s="337" t="n"/>
      <c r="M25" s="337" t="n"/>
      <c r="N25" s="337" t="n"/>
      <c r="O25" s="337" t="n"/>
      <c r="P25" s="337" t="n"/>
    </row>
    <row r="26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37" t="n"/>
      <c r="M26" s="337" t="n"/>
      <c r="N26" s="337" t="n"/>
      <c r="O26" s="337" t="n"/>
      <c r="P26" s="337" t="n"/>
    </row>
    <row r="27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37" t="n"/>
      <c r="M27" s="337" t="n"/>
      <c r="N27" s="337" t="n"/>
      <c r="O27" s="337" t="n"/>
      <c r="P27" s="337" t="n"/>
    </row>
    <row r="28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37" t="n"/>
      <c r="M28" s="337" t="n"/>
      <c r="N28" s="337" t="n"/>
      <c r="O28" s="337" t="n"/>
      <c r="P28" s="337" t="n"/>
    </row>
    <row r="29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37" t="n"/>
      <c r="M29" s="337" t="n"/>
      <c r="N29" s="337" t="n"/>
      <c r="O29" s="337" t="n"/>
      <c r="P29" s="337" t="n"/>
    </row>
    <row r="30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  <c r="J30" s="304" t="n"/>
      <c r="K30" s="304" t="n"/>
      <c r="L30" s="337" t="n"/>
      <c r="M30" s="337" t="n"/>
      <c r="N30" s="337" t="n"/>
      <c r="O30" s="337" t="n"/>
      <c r="P30" s="337" t="n"/>
    </row>
    <row r="31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  <c r="J31" s="304" t="n"/>
      <c r="K31" s="304" t="n"/>
      <c r="L31" s="337" t="n"/>
      <c r="M31" s="337" t="n"/>
      <c r="N31" s="337" t="n"/>
      <c r="O31" s="337" t="n"/>
      <c r="P31" s="337" t="n"/>
    </row>
    <row r="32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37" t="n"/>
      <c r="M32" s="337" t="n"/>
      <c r="N32" s="337" t="n"/>
      <c r="O32" s="337" t="n"/>
      <c r="P32" s="337" t="n"/>
    </row>
    <row r="33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  <c r="J33" s="304" t="n"/>
      <c r="K33" s="304" t="n"/>
      <c r="L33" s="337" t="n"/>
      <c r="M33" s="337" t="n"/>
      <c r="N33" s="337" t="n"/>
      <c r="O33" s="337" t="n"/>
      <c r="P33" s="337" t="n"/>
    </row>
    <row r="3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  <c r="J34" s="304" t="n"/>
      <c r="K34" s="304" t="n"/>
      <c r="L34" s="337" t="n"/>
      <c r="M34" s="337" t="n"/>
      <c r="N34" s="337" t="n"/>
      <c r="O34" s="337" t="n"/>
      <c r="P34" s="337" t="n"/>
    </row>
    <row r="35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37" t="n"/>
      <c r="M35" s="337" t="n"/>
      <c r="N35" s="337" t="n"/>
      <c r="O35" s="337" t="n"/>
      <c r="P35" s="337" t="n"/>
    </row>
    <row r="36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  <c r="J36" s="304" t="n"/>
      <c r="K36" s="304" t="n"/>
      <c r="L36" s="337" t="n"/>
      <c r="M36" s="337" t="n"/>
      <c r="N36" s="337" t="n"/>
      <c r="O36" s="337" t="n"/>
      <c r="P36" s="337" t="n"/>
    </row>
    <row r="37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37" t="n"/>
      <c r="M37" s="337" t="n"/>
      <c r="N37" s="337" t="n"/>
      <c r="O37" s="337" t="n"/>
      <c r="P37" s="337" t="n"/>
    </row>
    <row r="38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37" t="n"/>
      <c r="M38" s="337" t="n"/>
      <c r="N38" s="337" t="n"/>
      <c r="O38" s="337" t="n"/>
      <c r="P38" s="337" t="n"/>
    </row>
    <row r="39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37" t="n"/>
      <c r="M39" s="337" t="n"/>
      <c r="N39" s="337" t="n"/>
      <c r="O39" s="337" t="n"/>
      <c r="P39" s="337" t="n"/>
    </row>
    <row r="40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37" t="n"/>
      <c r="M40" s="337" t="n"/>
      <c r="N40" s="337" t="n"/>
      <c r="O40" s="337" t="n"/>
      <c r="P40" s="337" t="n"/>
    </row>
    <row r="41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  <c r="J41" s="304" t="n"/>
      <c r="K41" s="304" t="n"/>
      <c r="L41" s="337" t="n"/>
      <c r="M41" s="337" t="n"/>
      <c r="N41" s="337" t="n"/>
      <c r="O41" s="337" t="n"/>
      <c r="P41" s="337" t="n"/>
    </row>
    <row r="42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37" t="n"/>
      <c r="M42" s="337" t="n"/>
      <c r="N42" s="337" t="n"/>
      <c r="O42" s="337" t="n"/>
      <c r="P42" s="337" t="n"/>
    </row>
    <row r="43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  <c r="J43" s="304" t="n"/>
      <c r="K43" s="304" t="n"/>
      <c r="L43" s="337" t="n"/>
      <c r="M43" s="337" t="n"/>
      <c r="N43" s="337" t="n"/>
      <c r="O43" s="337" t="n"/>
      <c r="P43" s="337" t="n"/>
    </row>
    <row r="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37" t="n"/>
      <c r="M44" s="337" t="n"/>
      <c r="N44" s="337" t="n"/>
      <c r="O44" s="337" t="n"/>
      <c r="P44" s="337" t="n"/>
    </row>
    <row r="45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37" t="n"/>
      <c r="M45" s="337" t="n"/>
      <c r="N45" s="337" t="n"/>
      <c r="O45" s="337" t="n"/>
      <c r="P45" s="337" t="n"/>
    </row>
    <row r="46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37" t="n"/>
      <c r="M46" s="337" t="n"/>
      <c r="N46" s="337" t="n"/>
      <c r="O46" s="337" t="n"/>
      <c r="P46" s="337" t="n"/>
    </row>
    <row r="47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37" t="n"/>
      <c r="M47" s="337" t="n"/>
      <c r="N47" s="337" t="n"/>
      <c r="O47" s="337" t="n"/>
      <c r="P47" s="337" t="n"/>
    </row>
    <row r="48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37" t="n"/>
      <c r="M48" s="337" t="n"/>
      <c r="N48" s="337" t="n"/>
      <c r="O48" s="337" t="n"/>
      <c r="P48" s="337" t="n"/>
    </row>
    <row r="49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37" t="n"/>
      <c r="M49" s="337" t="n"/>
      <c r="N49" s="337" t="n"/>
      <c r="O49" s="337" t="n"/>
      <c r="P49" s="337" t="n"/>
    </row>
    <row r="50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37" t="n"/>
      <c r="M50" s="337" t="n"/>
      <c r="N50" s="337" t="n"/>
      <c r="O50" s="337" t="n"/>
      <c r="P50" s="337" t="n"/>
    </row>
    <row r="51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37" t="n"/>
      <c r="M51" s="337" t="n"/>
      <c r="N51" s="337" t="n"/>
      <c r="O51" s="337" t="n"/>
      <c r="P51" s="337" t="n"/>
    </row>
    <row r="52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37" t="n"/>
      <c r="M52" s="337" t="n"/>
      <c r="N52" s="337" t="n"/>
      <c r="O52" s="337" t="n"/>
      <c r="P52" s="337" t="n"/>
    </row>
    <row r="53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37" t="n"/>
      <c r="M53" s="337" t="n"/>
      <c r="N53" s="337" t="n"/>
      <c r="O53" s="337" t="n"/>
      <c r="P53" s="337" t="n"/>
    </row>
    <row r="5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37" t="n"/>
      <c r="M54" s="337" t="n"/>
      <c r="N54" s="337" t="n"/>
      <c r="O54" s="337" t="n"/>
      <c r="P54" s="337" t="n"/>
    </row>
    <row r="55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37" t="n"/>
      <c r="M55" s="337" t="n"/>
      <c r="N55" s="337" t="n"/>
      <c r="O55" s="337" t="n"/>
      <c r="P55" s="337" t="n"/>
    </row>
    <row r="56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37" t="n"/>
      <c r="M56" s="337" t="n"/>
      <c r="N56" s="337" t="n"/>
      <c r="O56" s="337" t="n"/>
      <c r="P56" s="337" t="n"/>
    </row>
    <row r="57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37" t="n"/>
      <c r="M57" s="337" t="n"/>
      <c r="N57" s="337" t="n"/>
      <c r="O57" s="337" t="n"/>
      <c r="P57" s="337" t="n"/>
    </row>
    <row r="58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37" t="n"/>
      <c r="M58" s="337" t="n"/>
      <c r="N58" s="337" t="n"/>
      <c r="O58" s="337" t="n"/>
      <c r="P58" s="337" t="n"/>
    </row>
    <row r="59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37" t="n"/>
      <c r="M59" s="337" t="n"/>
      <c r="N59" s="337" t="n"/>
      <c r="O59" s="337" t="n"/>
      <c r="P59" s="337" t="n"/>
    </row>
    <row r="60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37" t="n"/>
      <c r="M60" s="337" t="n"/>
      <c r="N60" s="337" t="n"/>
      <c r="O60" s="337" t="n"/>
      <c r="P60" s="337" t="n"/>
    </row>
    <row r="61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37" t="n"/>
      <c r="M61" s="337" t="n"/>
      <c r="N61" s="337" t="n"/>
      <c r="O61" s="337" t="n"/>
      <c r="P61" s="337" t="n"/>
    </row>
    <row r="62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37" t="n"/>
      <c r="M62" s="337" t="n"/>
      <c r="N62" s="337" t="n"/>
      <c r="O62" s="337" t="n"/>
      <c r="P62" s="337" t="n"/>
    </row>
    <row r="63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37" t="n"/>
      <c r="M63" s="337" t="n"/>
      <c r="N63" s="337" t="n"/>
      <c r="O63" s="337" t="n"/>
      <c r="P63" s="337" t="n"/>
    </row>
    <row r="6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37" t="n"/>
      <c r="M64" s="337" t="n"/>
      <c r="N64" s="337" t="n"/>
      <c r="O64" s="337" t="n"/>
      <c r="P64" s="337" t="n"/>
    </row>
    <row r="6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37" t="n"/>
      <c r="M65" s="337" t="n"/>
      <c r="N65" s="337" t="n"/>
      <c r="O65" s="337" t="n"/>
      <c r="P65" s="337" t="n"/>
    </row>
    <row r="66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37" t="n"/>
      <c r="M66" s="337" t="n"/>
      <c r="N66" s="337" t="n"/>
      <c r="O66" s="337" t="n"/>
      <c r="P66" s="337" t="n"/>
    </row>
    <row r="67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37" t="n"/>
      <c r="M67" s="337" t="n"/>
      <c r="N67" s="337" t="n"/>
      <c r="O67" s="337" t="n"/>
      <c r="P67" s="337" t="n"/>
    </row>
    <row r="68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37" t="n"/>
      <c r="M68" s="337" t="n"/>
      <c r="N68" s="337" t="n"/>
      <c r="O68" s="337" t="n"/>
      <c r="P68" s="337" t="n"/>
    </row>
    <row r="69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37" t="n"/>
      <c r="M69" s="337" t="n"/>
      <c r="N69" s="337" t="n"/>
      <c r="O69" s="337" t="n"/>
      <c r="P69" s="337" t="n"/>
    </row>
    <row r="70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37" t="n"/>
      <c r="M70" s="337" t="n"/>
      <c r="N70" s="337" t="n"/>
      <c r="O70" s="337" t="n"/>
      <c r="P70" s="337" t="n"/>
    </row>
    <row r="71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37" t="n"/>
      <c r="M71" s="337" t="n"/>
      <c r="N71" s="337" t="n"/>
      <c r="O71" s="337" t="n"/>
      <c r="P71" s="337" t="n"/>
    </row>
    <row r="72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37" t="n"/>
      <c r="M72" s="337" t="n"/>
      <c r="N72" s="337" t="n"/>
      <c r="O72" s="337" t="n"/>
      <c r="P72" s="337" t="n"/>
    </row>
    <row r="73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37" t="n"/>
      <c r="M73" s="337" t="n"/>
      <c r="N73" s="337" t="n"/>
      <c r="O73" s="337" t="n"/>
      <c r="P73" s="337" t="n"/>
    </row>
    <row r="7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37" t="n"/>
      <c r="M74" s="337" t="n"/>
      <c r="N74" s="337" t="n"/>
      <c r="O74" s="337" t="n"/>
      <c r="P74" s="337" t="n"/>
    </row>
    <row r="75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37" t="n"/>
      <c r="M75" s="337" t="n"/>
      <c r="N75" s="337" t="n"/>
      <c r="O75" s="337" t="n"/>
      <c r="P75" s="337" t="n"/>
    </row>
    <row r="76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37" t="n"/>
      <c r="M76" s="337" t="n"/>
      <c r="N76" s="337" t="n"/>
      <c r="O76" s="337" t="n"/>
      <c r="P76" s="337" t="n"/>
    </row>
    <row r="77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37" t="n"/>
      <c r="M77" s="337" t="n"/>
      <c r="N77" s="337" t="n"/>
      <c r="O77" s="337" t="n"/>
      <c r="P77" s="337" t="n"/>
    </row>
    <row r="78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37" t="n"/>
      <c r="M78" s="337" t="n"/>
      <c r="N78" s="337" t="n"/>
      <c r="O78" s="337" t="n"/>
      <c r="P78" s="337" t="n"/>
    </row>
    <row r="79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37" t="n"/>
      <c r="M79" s="337" t="n"/>
      <c r="N79" s="337" t="n"/>
      <c r="O79" s="337" t="n"/>
      <c r="P79" s="337" t="n"/>
    </row>
    <row r="80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37" t="n"/>
      <c r="M80" s="337" t="n"/>
      <c r="N80" s="337" t="n"/>
      <c r="O80" s="337" t="n"/>
      <c r="P80" s="337" t="n"/>
    </row>
    <row r="81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37" t="n"/>
      <c r="M81" s="337" t="n"/>
      <c r="N81" s="337" t="n"/>
      <c r="O81" s="337" t="n"/>
      <c r="P81" s="337" t="n"/>
    </row>
    <row r="82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37" t="n"/>
      <c r="M82" s="337" t="n"/>
      <c r="N82" s="337" t="n"/>
      <c r="O82" s="337" t="n"/>
      <c r="P82" s="337" t="n"/>
    </row>
    <row r="83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37" t="n"/>
      <c r="M83" s="337" t="n"/>
      <c r="N83" s="337" t="n"/>
      <c r="O83" s="337" t="n"/>
      <c r="P83" s="337" t="n"/>
    </row>
    <row r="8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37" t="n"/>
      <c r="M84" s="337" t="n"/>
      <c r="N84" s="337" t="n"/>
      <c r="O84" s="337" t="n"/>
      <c r="P84" s="337" t="n"/>
    </row>
    <row r="85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37" t="n"/>
      <c r="M85" s="337" t="n"/>
      <c r="N85" s="337" t="n"/>
      <c r="O85" s="337" t="n"/>
      <c r="P85" s="337" t="n"/>
    </row>
    <row r="86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37" t="n"/>
      <c r="M86" s="337" t="n"/>
      <c r="N86" s="337" t="n"/>
      <c r="O86" s="337" t="n"/>
      <c r="P86" s="337" t="n"/>
    </row>
    <row r="87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37" t="n"/>
      <c r="M87" s="337" t="n"/>
      <c r="N87" s="337" t="n"/>
      <c r="O87" s="337" t="n"/>
      <c r="P87" s="337" t="n"/>
    </row>
    <row r="88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37" t="n"/>
      <c r="M88" s="337" t="n"/>
      <c r="N88" s="337" t="n"/>
      <c r="O88" s="337" t="n"/>
      <c r="P88" s="337" t="n"/>
    </row>
    <row r="89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37" t="n"/>
      <c r="M89" s="337" t="n"/>
      <c r="N89" s="337" t="n"/>
      <c r="O89" s="337" t="n"/>
      <c r="P89" s="337" t="n"/>
    </row>
    <row r="90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37" t="n"/>
      <c r="M90" s="337" t="n"/>
      <c r="N90" s="337" t="n"/>
      <c r="O90" s="337" t="n"/>
      <c r="P90" s="337" t="n"/>
    </row>
    <row r="91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37" t="n"/>
      <c r="M91" s="337" t="n"/>
      <c r="N91" s="337" t="n"/>
      <c r="O91" s="337" t="n"/>
      <c r="P91" s="337" t="n"/>
    </row>
    <row r="92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37" t="n"/>
      <c r="M92" s="337" t="n"/>
      <c r="N92" s="337" t="n"/>
      <c r="O92" s="337" t="n"/>
      <c r="P92" s="337" t="n"/>
    </row>
    <row r="93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37" t="n"/>
      <c r="M93" s="337" t="n"/>
      <c r="N93" s="337" t="n"/>
      <c r="O93" s="337" t="n"/>
      <c r="P93" s="337" t="n"/>
    </row>
    <row r="9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37" t="n"/>
      <c r="M94" s="337" t="n"/>
      <c r="N94" s="337" t="n"/>
      <c r="O94" s="337" t="n"/>
      <c r="P94" s="337" t="n"/>
    </row>
    <row r="95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37" t="n"/>
      <c r="M95" s="337" t="n"/>
      <c r="N95" s="337" t="n"/>
      <c r="O95" s="337" t="n"/>
      <c r="P95" s="337" t="n"/>
    </row>
    <row r="96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37" t="n"/>
      <c r="M96" s="337" t="n"/>
      <c r="N96" s="337" t="n"/>
      <c r="O96" s="337" t="n"/>
      <c r="P96" s="337" t="n"/>
    </row>
    <row r="97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37" t="n"/>
      <c r="M97" s="337" t="n"/>
      <c r="N97" s="337" t="n"/>
      <c r="O97" s="337" t="n"/>
      <c r="P97" s="337" t="n"/>
    </row>
    <row r="98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37" t="n"/>
      <c r="M98" s="337" t="n"/>
      <c r="N98" s="337" t="n"/>
      <c r="O98" s="337" t="n"/>
      <c r="P98" s="337" t="n"/>
    </row>
    <row r="99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37" t="n"/>
      <c r="M99" s="337" t="n"/>
      <c r="N99" s="337" t="n"/>
      <c r="O99" s="337" t="n"/>
      <c r="P99" s="337" t="n"/>
    </row>
    <row r="100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37" t="n"/>
      <c r="M100" s="337" t="n"/>
      <c r="N100" s="337" t="n"/>
      <c r="O100" s="337" t="n"/>
      <c r="P100" s="337" t="n"/>
    </row>
    <row r="101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37" t="n"/>
      <c r="M101" s="337" t="n"/>
      <c r="N101" s="337" t="n"/>
      <c r="O101" s="337" t="n"/>
      <c r="P101" s="337" t="n"/>
    </row>
    <row r="102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37" t="n"/>
      <c r="M102" s="337" t="n"/>
      <c r="N102" s="337" t="n"/>
      <c r="O102" s="337" t="n"/>
      <c r="P102" s="337" t="n"/>
    </row>
    <row r="103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37" t="n"/>
      <c r="M103" s="337" t="n"/>
      <c r="N103" s="337" t="n"/>
      <c r="O103" s="337" t="n"/>
      <c r="P103" s="337" t="n"/>
    </row>
    <row r="10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37" t="n"/>
      <c r="M104" s="337" t="n"/>
      <c r="N104" s="337" t="n"/>
      <c r="O104" s="337" t="n"/>
      <c r="P104" s="337" t="n"/>
    </row>
    <row r="105">
      <c r="A105" s="305" t="n"/>
      <c r="B105" s="306" t="n"/>
      <c r="C105" s="306" t="n"/>
      <c r="D105" s="305" t="n"/>
      <c r="E105" s="305" t="n"/>
      <c r="F105" s="305" t="n"/>
      <c r="G105" s="305" t="n"/>
      <c r="H105" s="305" t="n"/>
      <c r="I105" s="305" t="n"/>
      <c r="J105" s="305" t="n"/>
      <c r="K105" s="305" t="n"/>
      <c r="L105" s="337" t="n"/>
      <c r="M105" s="337" t="n"/>
      <c r="N105" s="337" t="n"/>
      <c r="O105" s="337" t="n"/>
      <c r="P105" s="337" t="n"/>
    </row>
    <row r="106">
      <c r="A106" s="337" t="n"/>
      <c r="B106" s="337" t="n"/>
      <c r="C106" s="337" t="n"/>
      <c r="D106" s="337" t="n"/>
      <c r="E106" s="337" t="n"/>
      <c r="F106" s="337" t="n"/>
      <c r="G106" s="337" t="n"/>
      <c r="H106" s="337" t="n"/>
      <c r="I106" s="337" t="n"/>
      <c r="J106" s="337" t="n"/>
      <c r="K106" s="337" t="n"/>
      <c r="L106" s="337" t="n"/>
      <c r="M106" s="337" t="n"/>
      <c r="N106" s="337" t="n"/>
      <c r="O106" s="337" t="n"/>
      <c r="P106" s="337" t="n"/>
    </row>
    <row r="107" ht="18" customHeight="1" s="328">
      <c r="A107" s="332" t="n"/>
      <c r="B107" s="333" t="n"/>
      <c r="C107" s="333" t="n"/>
      <c r="D107" s="333" t="n"/>
      <c r="E107" s="333" t="n"/>
      <c r="F107" s="333" t="n"/>
      <c r="G107" s="333" t="n"/>
      <c r="H107" s="333" t="n"/>
      <c r="I107" s="333" t="n"/>
      <c r="J107" s="334" t="n"/>
      <c r="K107" s="337" t="n"/>
      <c r="L107" s="337" t="n"/>
      <c r="M107" s="337" t="n"/>
      <c r="N107" s="337" t="n"/>
      <c r="O107" s="337" t="n"/>
      <c r="P107" s="337" t="n"/>
    </row>
    <row r="108" ht="18" customHeight="1" s="328">
      <c r="A108" s="307" t="n"/>
      <c r="B108" s="308" t="n"/>
      <c r="C108" s="335" t="n"/>
      <c r="D108" s="333" t="n"/>
      <c r="E108" s="334" t="n"/>
      <c r="F108" s="307" t="n"/>
      <c r="G108" s="308" t="n"/>
      <c r="H108" s="335" t="n"/>
      <c r="I108" s="333" t="n"/>
      <c r="J108" s="334" t="n"/>
      <c r="K108" s="337" t="n"/>
      <c r="L108" s="337" t="n"/>
      <c r="M108" s="337" t="n"/>
      <c r="N108" s="337" t="n"/>
      <c r="O108" s="337" t="n"/>
      <c r="P108" s="337" t="n"/>
    </row>
    <row r="109" ht="18" customHeight="1" s="328">
      <c r="A109" s="307" t="n"/>
      <c r="B109" s="308" t="n"/>
      <c r="C109" s="335" t="n"/>
      <c r="D109" s="333" t="n"/>
      <c r="E109" s="334" t="n"/>
      <c r="F109" s="307" t="n"/>
      <c r="G109" s="308" t="n"/>
      <c r="H109" s="335" t="n"/>
      <c r="I109" s="333" t="n"/>
      <c r="J109" s="334" t="n"/>
      <c r="K109" s="337" t="n"/>
      <c r="L109" s="337" t="n"/>
      <c r="M109" s="337" t="n"/>
      <c r="N109" s="337" t="n"/>
      <c r="O109" s="337" t="n"/>
      <c r="P109" s="337" t="n"/>
    </row>
    <row r="110" ht="18" customHeight="1" s="328">
      <c r="A110" s="307" t="n"/>
      <c r="B110" s="308" t="n"/>
      <c r="C110" s="335" t="n"/>
      <c r="D110" s="333" t="n"/>
      <c r="E110" s="334" t="n"/>
      <c r="F110" s="307" t="n"/>
      <c r="G110" s="308" t="n"/>
      <c r="H110" s="335" t="n"/>
      <c r="I110" s="333" t="n"/>
      <c r="J110" s="334" t="n"/>
      <c r="K110" s="337" t="n"/>
      <c r="L110" s="337" t="n"/>
      <c r="M110" s="337" t="n"/>
      <c r="N110" s="337" t="n"/>
      <c r="O110" s="337" t="n"/>
      <c r="P110" s="337" t="n"/>
    </row>
    <row r="111" ht="18" customHeight="1" s="328">
      <c r="A111" s="307" t="n"/>
      <c r="B111" s="308" t="n"/>
      <c r="C111" s="335" t="n"/>
      <c r="D111" s="333" t="n"/>
      <c r="E111" s="334" t="n"/>
      <c r="F111" s="307" t="n"/>
      <c r="G111" s="308" t="n"/>
      <c r="H111" s="335" t="n"/>
      <c r="I111" s="333" t="n"/>
      <c r="J111" s="334" t="n"/>
      <c r="K111" s="337" t="n"/>
      <c r="L111" s="337" t="n"/>
      <c r="M111" s="337" t="n"/>
      <c r="N111" s="337" t="n"/>
      <c r="O111" s="337" t="n"/>
      <c r="P111" s="337" t="n"/>
    </row>
    <row r="112" ht="18" customHeight="1" s="328">
      <c r="A112" s="307" t="n"/>
      <c r="B112" s="308" t="n"/>
      <c r="C112" s="335" t="n"/>
      <c r="D112" s="333" t="n"/>
      <c r="E112" s="334" t="n"/>
      <c r="F112" s="307" t="n"/>
      <c r="G112" s="308" t="n"/>
      <c r="H112" s="335" t="n"/>
      <c r="I112" s="333" t="n"/>
      <c r="J112" s="334" t="n"/>
      <c r="K112" s="337" t="n"/>
      <c r="L112" s="337" t="n"/>
      <c r="M112" s="337" t="n"/>
      <c r="N112" s="337" t="n"/>
      <c r="O112" s="337" t="n"/>
      <c r="P112" s="337" t="n"/>
    </row>
    <row r="113" ht="45" customHeight="1" s="328">
      <c r="A113" s="307" t="n"/>
      <c r="B113" s="308" t="n"/>
      <c r="C113" s="335" t="n"/>
      <c r="D113" s="333" t="n"/>
      <c r="E113" s="334" t="n"/>
      <c r="F113" s="335" t="n"/>
      <c r="G113" s="333" t="n"/>
      <c r="H113" s="333" t="n"/>
      <c r="I113" s="333" t="n"/>
      <c r="J113" s="334" t="n"/>
      <c r="K113" s="337" t="n"/>
      <c r="L113" s="337" t="n"/>
      <c r="M113" s="337" t="n"/>
      <c r="N113" s="337" t="n"/>
      <c r="O113" s="337" t="n"/>
      <c r="P113" s="337" t="n"/>
    </row>
    <row r="114" ht="18" customHeight="1" s="328">
      <c r="A114" s="337" t="n"/>
      <c r="B114" s="337" t="n"/>
      <c r="C114" s="337" t="n"/>
      <c r="D114" s="337" t="n"/>
      <c r="E114" s="337" t="n"/>
      <c r="F114" s="337" t="n"/>
      <c r="G114" s="337" t="n"/>
      <c r="H114" s="337" t="n"/>
      <c r="I114" s="337" t="n"/>
      <c r="J114" s="337" t="n"/>
      <c r="K114" s="337" t="n"/>
      <c r="L114" s="337" t="n"/>
      <c r="M114" s="337" t="n"/>
      <c r="N114" s="337" t="n"/>
      <c r="O114" s="337" t="n"/>
      <c r="P114" s="337" t="n"/>
    </row>
    <row r="115" ht="18" customHeight="1" s="328">
      <c r="A115" s="309" t="n"/>
      <c r="B115" s="335" t="n"/>
      <c r="C115" s="333" t="n"/>
      <c r="D115" s="333" t="n"/>
      <c r="E115" s="333" t="n"/>
      <c r="F115" s="333" t="n"/>
      <c r="G115" s="333" t="n"/>
      <c r="H115" s="333" t="n"/>
      <c r="I115" s="333" t="n"/>
      <c r="J115" s="334" t="n"/>
      <c r="K115" s="337" t="n"/>
      <c r="L115" s="337" t="n"/>
      <c r="M115" s="337" t="n"/>
      <c r="N115" s="337" t="n"/>
      <c r="O115" s="337" t="n"/>
      <c r="P115" s="337" t="n"/>
    </row>
    <row r="116" ht="18" customHeight="1" s="328">
      <c r="A116" s="335" t="n"/>
      <c r="B116" s="333" t="n"/>
      <c r="C116" s="333" t="n"/>
      <c r="D116" s="333" t="n"/>
      <c r="E116" s="333" t="n"/>
      <c r="F116" s="333" t="n"/>
      <c r="G116" s="333" t="n"/>
      <c r="H116" s="333" t="n"/>
      <c r="I116" s="333" t="n"/>
      <c r="J116" s="334" t="n"/>
      <c r="K116" s="337" t="n"/>
      <c r="L116" s="337" t="n"/>
      <c r="M116" s="337" t="n"/>
      <c r="N116" s="337" t="n"/>
      <c r="O116" s="337" t="n"/>
      <c r="P116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16">
    <mergeCell ref="A107:J107"/>
    <mergeCell ref="C112:E112"/>
    <mergeCell ref="A1:J1"/>
    <mergeCell ref="A116:J116"/>
    <mergeCell ref="H112:J112"/>
    <mergeCell ref="C110:E110"/>
    <mergeCell ref="F113:J113"/>
    <mergeCell ref="B115:J115"/>
    <mergeCell ref="H108:J108"/>
    <mergeCell ref="H110:J110"/>
    <mergeCell ref="C111:E111"/>
    <mergeCell ref="H111:J111"/>
    <mergeCell ref="C113:E113"/>
    <mergeCell ref="C108:E108"/>
    <mergeCell ref="C109:E109"/>
    <mergeCell ref="H109:J109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J14:J48" showDropDown="0" showInputMessage="0" showErrorMessage="0" allowBlank="1" type="list">
      <formula1>_xlfn._LONGTEXT("Unico,Unico-2,Unico-42,Unico-44,Unico-46,Unico-47,Unico-48,Unico-49,Globe,Globe-12,Hebrews,Romans-2,Beacon,Numbers,Zebra-24,Sunrise,Sunrise-1,Sunflower 6,Sunset 12,Ripple,Neptune P1,Neptune P2,Neptune P3,Neptune P4,Neptune P5,Neptune P6,Neptune P7,Rainbow"," 1,Rainbow 2,Citadel,Sunset 11,Autumn,Autumn-2,Miracle,Miracle 1")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F55"/>
  <sheetViews>
    <sheetView topLeftCell="A41" workbookViewId="0">
      <selection activeCell="I52" sqref="I52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37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n"/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 xml:space="preserve">Claudette Yearwood 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37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167" t="inlineStr">
        <is>
          <t>Hrs</t>
        </is>
      </c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37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37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</row>
    <row r="10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167" t="inlineStr">
        <is>
          <t>Hrs</t>
        </is>
      </c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37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  <c r="AD12" s="337" t="n"/>
      <c r="AE12" s="337" t="n"/>
      <c r="AF12" s="337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N14" s="70">
        <f>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MAX(0,$I14-$M14)
  )))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 t="n"/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 t="n"/>
      <c r="V14" s="189" t="n"/>
      <c r="W14" s="189" t="n"/>
      <c r="X14" s="189" t="n"/>
      <c r="Y14" s="189" t="n"/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IF(D15=0,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N15" s="75">
        <f>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MAX(0,$I15-$M15)
  )))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 t="n"/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 t="n"/>
      <c r="V15" s="189" t="n"/>
      <c r="W15" s="189" t="n"/>
      <c r="X15" s="189" t="n"/>
      <c r="Y15" s="189" t="n"/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IF(D16=0,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N16" s="15">
        <f>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MAX(0,$I16-$M16)
  )))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 t="n"/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IF(D17=0,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N17" s="18">
        <f>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MAX(0,$I17-$M17)
  )))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 t="n"/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 t="n"/>
      <c r="V17" s="337" t="n"/>
      <c r="W17" s="337" t="n"/>
      <c r="X17" s="337" t="n"/>
      <c r="Y17" s="337" t="inlineStr">
        <is>
          <t xml:space="preserve"> </t>
        </is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IF(D18=0,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N18" s="44">
        <f>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MAX(0,$I18-$M18)
  )))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 t="n"/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IF(D19=0,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N19" s="49">
        <f>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MAX(0,$I19-$M19)
  )))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 t="n"/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IF(D20=0,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N20" s="53">
        <f>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MAX(0,$I20-$M20)
  )))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 t="n"/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IF(D21=0,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N21" s="56">
        <f>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MAX(0,$I21-$M21)
  )))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 t="n"/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IF(D22=0,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N22" s="60">
        <f>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MAX(0,$I22-$M22)
  )))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 t="n"/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 t="n"/>
      <c r="V22" s="337" t="n"/>
      <c r="W22" s="337" t="n"/>
      <c r="X22" s="337" t="n"/>
      <c r="Y22" s="337" t="n"/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IF(D23=0,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N23" s="65">
        <f>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MAX(0,$I23-$M23)
  )))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 t="n"/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IF(D24=0,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N24" s="15">
        <f>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MAX(0,$I24-$M24)
  )))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 t="n"/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 t="n"/>
      <c r="V24" s="337" t="n"/>
      <c r="W24" s="337" t="n"/>
      <c r="X24" s="337" t="n"/>
      <c r="Y24" s="337" t="n"/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IF(D25=0,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N25" s="18">
        <f>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MAX(0,$I25-$M25)
  )))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 t="n"/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IF(D26=0,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N26" s="44">
        <f>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MAX(0,$I26-$M26)
  )))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 t="n"/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IF(D27=0,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N27" s="49">
        <f>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MAX(0,$I27-$M27)
  )))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 t="n"/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 t="n"/>
      <c r="F28" s="12" t="n"/>
      <c r="G28" s="12" t="n"/>
      <c r="H28" s="348" t="n"/>
      <c r="I28" s="337" t="n"/>
      <c r="J28" s="348" t="n"/>
      <c r="K28" s="348" t="n"/>
      <c r="L28" s="348" t="n"/>
      <c r="M28" s="119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N28" s="119">
        <f>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MAX(0,$I28-$M28)
  )))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226" t="n"/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IF(D29=0,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N29" s="6">
        <f>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MAX(0,$I29-$M29)
  )))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12" t="n"/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IF(D30=0,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N30" s="70">
        <f>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MAX(0,$I30-$M30)
  )))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 t="n"/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 t="n"/>
      <c r="V30" s="189" t="n"/>
      <c r="W30" s="189" t="n"/>
      <c r="X30" s="189" t="n"/>
      <c r="Y30" s="189" t="n"/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IF(D31=0,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N31" s="75">
        <f>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MAX(0,$I31-$M31)
  )))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 t="n"/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 t="n"/>
      <c r="V31" s="189" t="n"/>
      <c r="W31" s="189" t="n"/>
      <c r="X31" s="189" t="n"/>
      <c r="Y31" s="189" t="n"/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IF(D32=0,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N32" s="21">
        <f>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MAX(0,$I32-$M32)
  )))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 t="n"/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IF(D33=0,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N33" s="23">
        <f>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MAX(0,$I33-$M33)
  )))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 t="n"/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IF(D34=0,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N34" s="44">
        <f>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MAX(0,$I34-$M34)
  )))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 t="n"/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IF(D35=0,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N35" s="49">
        <f>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MAX(0,$I35-$M35)
  )))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 t="n"/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IF(D36=0,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N36" s="15">
        <f>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MAX(0,$I36-$M36)
  )))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 t="n"/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IF(D37=0,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N37" s="18">
        <f>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MAX(0,$I37-$M37)
  )))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 t="n"/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IF(D38=0,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N38" s="80">
        <f>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MAX(0,$I38-$M38)
  )))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 t="n"/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IF(D39=0,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N39" s="85">
        <f>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MAX(0,$I39-$M39)
  )))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 t="n"/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IF(D40=0,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N40" s="89">
        <f>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MAX(0,$I40-$M40)
  )))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 t="n"/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IF(D41=0,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N41" s="92">
        <f>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MAX(0,$I41-$M41)
  )))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 t="n"/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IF(D42=0,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N42" s="27">
        <f>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MAX(0,$I42-$M42)
  )))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 t="n"/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IF(D43=0,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N43" s="30">
        <f>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MAX(0,$I43-$M43)
  )))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 t="n"/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 t="n"/>
      <c r="F44" s="277" t="n"/>
      <c r="G44" s="131" t="n"/>
      <c r="H44" s="131" t="n"/>
      <c r="I44" s="278" t="n"/>
      <c r="J44" s="278" t="n"/>
      <c r="K44" s="278" t="n"/>
      <c r="L44" s="278" t="n"/>
      <c r="M44" s="132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N44" s="133">
        <f>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MAX(0,$I44-$M44)
  )))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4" t="n"/>
      <c r="Q44" s="134" t="n"/>
      <c r="R44" s="134" t="n"/>
      <c r="S44" s="133">
        <f>IF(OR($A44="Annual Leave",$A45="Annual Leave"),IF($A44="Annual Leave",8,0),0)</f>
        <v/>
      </c>
      <c r="T44" s="135" t="n"/>
      <c r="U44" s="178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IF(D45=0,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N45" s="8">
        <f>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MAX(0,$I45-$M45)
  )))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 t="n"/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IF(D46=0,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N46" s="99">
        <f>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MAX(0,$I46-$M46)
  )))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 t="n"/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IF(D47=0,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N47" s="102">
        <f>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MAX(0,$I47-$M47)
  )))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 t="n"/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IF(D48=0,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N48" s="23">
        <f>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MAX(0,$I48-$M48)
  )))</f>
        <v/>
      </c>
      <c r="O48" s="10" t="n"/>
      <c r="P48" s="291" t="n"/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5" workbookViewId="0">
      <selection activeCell="M5" sqref="M5:N5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4777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Daniels, John Llewellyn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Employee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17" workbookViewId="0">
      <selection activeCell="I56" sqref="I56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564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Ridley, Theresa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4" workbookViewId="0">
      <selection activeCell="J57" sqref="J57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2234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Browne, Francianna Milissa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5" workbookViewId="0">
      <selection activeCell="I52" sqref="I52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5507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Henry, Colin Vincent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7" workbookViewId="0">
      <selection activeCell="C52" sqref="C52:E52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971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Dorsett, Susan Patricia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0" workbookViewId="0">
      <selection activeCell="J52" sqref="J52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755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Pearson, Roslyn Andrea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J56" sqref="J56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0118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Barnes, Mauva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7" workbookViewId="0">
      <selection activeCell="H58" sqref="H58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229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Proffitt, Clive Rodericks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J55" sqref="J55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5489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Spencer, Shemar Ethy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2" workbookViewId="0">
      <selection activeCell="J56" sqref="J56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3345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Whinfield, Merlyn Beatrice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L55"/>
  <sheetViews>
    <sheetView topLeftCell="A45" workbookViewId="0">
      <selection activeCell="J58" sqref="J58"/>
    </sheetView>
  </sheetViews>
  <sheetFormatPr baseColWidth="8" defaultRowHeight="15"/>
  <cols>
    <col width="12.28515625" customWidth="1" style="328" min="1" max="1"/>
    <col width="15.140625" customWidth="1" style="328" min="2" max="2"/>
    <col width="12.42578125" customWidth="1" style="328" min="3" max="3"/>
    <col width="9.28515625" customWidth="1" style="328" min="4" max="4"/>
    <col hidden="1" width="9.28515625" customWidth="1" style="328" min="5" max="5"/>
    <col hidden="1" width="2" customWidth="1" style="328" min="6" max="6"/>
    <col hidden="1" width="12.5703125" customWidth="1" style="328" min="7" max="7"/>
    <col width="9.28515625" customWidth="1" style="328" min="8" max="8"/>
    <col width="6.5703125" customWidth="1" style="328" min="9" max="9"/>
    <col width="10.140625" customWidth="1" style="328" min="10" max="10"/>
    <col width="15.28515625" customWidth="1" style="328" min="11" max="11"/>
    <col width="10.5703125" customWidth="1" style="328" min="12" max="12"/>
    <col width="11" customWidth="1" style="328" min="13" max="13"/>
    <col width="9.85546875" customWidth="1" style="328" min="14" max="14"/>
    <col width="11.140625" customWidth="1" style="328" min="15" max="15"/>
    <col width="9.85546875" customWidth="1" style="328" min="16" max="16"/>
    <col width="10.28515625" customWidth="1" style="328" min="17" max="17"/>
    <col width="8.85546875" customWidth="1" style="328" min="18" max="19"/>
    <col width="45.28515625" customWidth="1" style="328" min="20" max="20"/>
    <col width="9.140625" customWidth="1" style="328" min="21" max="21"/>
    <col width="3.140625" customWidth="1" style="328" min="22" max="29"/>
    <col width="10.28515625" customWidth="1" style="328" min="30" max="30"/>
  </cols>
  <sheetData>
    <row r="1" ht="32.25" customFormat="1" customHeight="1" s="1" thickBot="1">
      <c r="A1" s="351" t="n"/>
      <c r="B1" s="352" t="n"/>
      <c r="C1" s="352" t="n"/>
      <c r="D1" s="352" t="n"/>
      <c r="E1" s="352" t="n"/>
      <c r="F1" s="352" t="n"/>
      <c r="G1" s="352" t="n"/>
      <c r="H1" s="352" t="n"/>
      <c r="I1" s="352" t="n"/>
      <c r="J1" s="352" t="n"/>
      <c r="K1" s="352" t="n"/>
      <c r="L1" s="352" t="n"/>
      <c r="M1" s="352" t="n"/>
      <c r="N1" s="352" t="n"/>
      <c r="O1" s="352" t="n"/>
      <c r="P1" s="352" t="n"/>
      <c r="Q1" s="352" t="n"/>
      <c r="R1" s="352" t="n"/>
      <c r="S1" s="352" t="n"/>
      <c r="T1" s="34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156" t="n"/>
      <c r="AE1" s="337" t="n"/>
      <c r="AF1" s="337" t="n"/>
    </row>
    <row r="2" ht="15" customFormat="1" customHeight="1" s="1">
      <c r="A2" s="337" t="n"/>
      <c r="B2" s="337" t="n"/>
      <c r="C2" s="157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58" t="n"/>
      <c r="U2" s="337" t="n"/>
      <c r="V2" s="340" t="n">
        <v>2025</v>
      </c>
      <c r="W2" s="341" t="n"/>
      <c r="X2" s="337" t="n"/>
      <c r="Y2" s="337" t="n"/>
      <c r="Z2" s="159" t="inlineStr">
        <is>
          <t>Month:</t>
        </is>
      </c>
      <c r="AA2" s="340" t="n">
        <v>3</v>
      </c>
      <c r="AB2" s="341" t="n"/>
      <c r="AC2" s="337" t="n"/>
      <c r="AD2" s="337" t="n"/>
      <c r="AE2" s="337" t="n"/>
      <c r="AF2" s="337" t="n"/>
    </row>
    <row r="3" ht="15.6" customHeight="1" s="328" thickBot="1">
      <c r="A3" s="337" t="n"/>
      <c r="B3" s="337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337" t="n"/>
      <c r="V3" s="353">
        <f>DATE(V2,AA2,1)</f>
        <v/>
      </c>
      <c r="W3" s="354" t="n"/>
      <c r="X3" s="354" t="n"/>
      <c r="Y3" s="354" t="n"/>
      <c r="Z3" s="354" t="n"/>
      <c r="AA3" s="354" t="n"/>
      <c r="AB3" s="355" t="n"/>
      <c r="AC3" s="337" t="n"/>
      <c r="AD3" s="337" t="n"/>
      <c r="AE3" s="337" t="n"/>
      <c r="AF3" s="313" t="n"/>
    </row>
    <row r="4" ht="21" customHeight="1" s="328" thickBot="1">
      <c r="A4" s="337" t="n"/>
      <c r="B4" s="337" t="n"/>
      <c r="C4" s="35" t="inlineStr">
        <is>
          <t>Federal Manangement Systems</t>
        </is>
      </c>
      <c r="D4" s="35" t="n"/>
      <c r="E4" s="35" t="n"/>
      <c r="F4" s="35" t="n"/>
      <c r="G4" s="35" t="n"/>
      <c r="H4" s="12" t="n"/>
      <c r="I4" s="12" t="n"/>
      <c r="J4" s="12" t="n"/>
      <c r="K4" s="364" t="inlineStr">
        <is>
          <t>Employee Number:</t>
        </is>
      </c>
      <c r="L4" s="337" t="n"/>
      <c r="M4" s="346" t="inlineStr">
        <is>
          <t>571</t>
        </is>
      </c>
      <c r="N4" s="347" t="n"/>
      <c r="O4" s="12" t="n"/>
      <c r="P4" s="12" t="n"/>
      <c r="Q4" s="12" t="n"/>
      <c r="R4" s="12" t="n"/>
      <c r="S4" s="12" t="n"/>
      <c r="T4" s="12" t="n"/>
      <c r="U4" s="337" t="n"/>
      <c r="V4" s="160" t="inlineStr">
        <is>
          <t>Su</t>
        </is>
      </c>
      <c r="W4" s="161" t="inlineStr">
        <is>
          <t>M</t>
        </is>
      </c>
      <c r="X4" s="161" t="inlineStr">
        <is>
          <t>Tu</t>
        </is>
      </c>
      <c r="Y4" s="161" t="inlineStr">
        <is>
          <t>W</t>
        </is>
      </c>
      <c r="Z4" s="161" t="inlineStr">
        <is>
          <t>Th</t>
        </is>
      </c>
      <c r="AA4" s="161" t="inlineStr">
        <is>
          <t>F</t>
        </is>
      </c>
      <c r="AB4" s="162" t="inlineStr">
        <is>
          <t>Sa</t>
        </is>
      </c>
      <c r="AC4" s="337" t="n"/>
      <c r="AD4" s="163" t="inlineStr">
        <is>
          <t>Overtime Options</t>
        </is>
      </c>
      <c r="AE4" s="337" t="n"/>
      <c r="AF4" s="337" t="n"/>
      <c r="AJ4" s="316" t="n"/>
    </row>
    <row r="5" ht="14.1" customHeight="1" s="328" thickBot="1">
      <c r="A5" s="337" t="n"/>
      <c r="B5" s="337" t="n"/>
      <c r="C5" s="342" t="n"/>
      <c r="D5" s="337" t="n"/>
      <c r="E5" s="337" t="n"/>
      <c r="F5" s="337" t="n"/>
      <c r="G5" s="12" t="n"/>
      <c r="H5" s="343" t="n"/>
      <c r="I5" s="337" t="n"/>
      <c r="J5" s="343" t="n"/>
      <c r="K5" s="344" t="inlineStr">
        <is>
          <t>Employee Name:</t>
        </is>
      </c>
      <c r="L5" s="345" t="n"/>
      <c r="M5" s="346" t="inlineStr">
        <is>
          <t>David, Jewelle Phillipa</t>
        </is>
      </c>
      <c r="N5" s="347" t="n"/>
      <c r="O5" s="342" t="n"/>
      <c r="P5" s="342" t="n"/>
      <c r="Q5" s="342" t="n"/>
      <c r="R5" s="342" t="n"/>
      <c r="S5" s="342" t="n"/>
      <c r="T5" s="342" t="n"/>
      <c r="U5" s="337" t="n"/>
      <c r="V5" s="3">
        <f>IF(MONTH($V$3)&lt;&gt;MONTH($V$3-WEEKDAY($V$3,1)+(ROW(V5)-ROW($V$5))*7+(COLUMN(V5)-COLUMN($V$5)+1)),"",$V$3-WEEKDAY($V$3,1)+(ROW(V5)-ROW($V$5))*7+(COLUMN(V5)-COLUMN($V$5)+1))</f>
        <v/>
      </c>
      <c r="W5" s="3">
        <f>IF(MONTH($V$3)&lt;&gt;MONTH($V$3-WEEKDAY($V$3,1)+(ROW(W5)-ROW($V$5))*7+(COLUMN(W5)-COLUMN($V$5)+1)),"",$V$3-WEEKDAY($V$3,1)+(ROW(W5)-ROW($V$5))*7+(COLUMN(W5)-COLUMN($V$5)+1))</f>
        <v/>
      </c>
      <c r="X5" s="3">
        <f>IF(MONTH($V$3)&lt;&gt;MONTH($V$3-WEEKDAY($V$3,1)+(ROW(X5)-ROW($V$5))*7+(COLUMN(X5)-COLUMN($V$5)+1)),"",$V$3-WEEKDAY($V$3,1)+(ROW(X5)-ROW($V$5))*7+(COLUMN(X5)-COLUMN($V$5)+1))</f>
        <v/>
      </c>
      <c r="Y5" s="3">
        <f>IF(MONTH($V$3)&lt;&gt;MONTH($V$3-WEEKDAY($V$3,1)+(ROW(Y5)-ROW($V$5))*7+(COLUMN(Y5)-COLUMN($V$5)+1)),"",$V$3-WEEKDAY($V$3,1)+(ROW(Y5)-ROW($V$5))*7+(COLUMN(Y5)-COLUMN($V$5)+1))</f>
        <v/>
      </c>
      <c r="Z5" s="3">
        <f>IF(MONTH($V$3)&lt;&gt;MONTH($V$3-WEEKDAY($V$3,1)+(ROW(Z5)-ROW($V$5))*7+(COLUMN(Z5)-COLUMN($V$5)+1)),"",$V$3-WEEKDAY($V$3,1)+(ROW(Z5)-ROW($V$5))*7+(COLUMN(Z5)-COLUMN($V$5)+1))</f>
        <v/>
      </c>
      <c r="AA5" s="3">
        <f>IF(MONTH($V$3)&lt;&gt;MONTH($V$3-WEEKDAY($V$3,1)+(ROW(AA5)-ROW($V$5))*7+(COLUMN(AA5)-COLUMN($V$5)+1)),"",$V$3-WEEKDAY($V$3,1)+(ROW(AA5)-ROW($V$5))*7+(COLUMN(AA5)-COLUMN($V$5)+1))</f>
        <v/>
      </c>
      <c r="AB5" s="3">
        <f>IF(MONTH($V$3)&lt;&gt;MONTH($V$3-WEEKDAY($V$3,1)+(ROW(AB5)-ROW($V$5))*7+(COLUMN(AB5)-COLUMN($V$5)+1)),"",$V$3-WEEKDAY($V$3,1)+(ROW(AB5)-ROW($V$5))*7+(COLUMN(AB5)-COLUMN($V$5)+1))</f>
        <v/>
      </c>
      <c r="AC5" s="337" t="n"/>
      <c r="AD5" s="337" t="n"/>
      <c r="AE5" s="4" t="b">
        <v>1</v>
      </c>
      <c r="AF5" s="314" t="n"/>
      <c r="AJ5" s="330" t="n"/>
      <c r="AK5" s="330" t="n"/>
      <c r="AL5" s="330" t="n"/>
    </row>
    <row r="6" ht="14.1" customHeight="1" s="328" thickBot="1">
      <c r="A6" s="337" t="n"/>
      <c r="B6" s="337" t="n"/>
      <c r="C6" s="342" t="inlineStr">
        <is>
          <t xml:space="preserve">120 Peter Rose St </t>
        </is>
      </c>
      <c r="D6" s="337" t="n"/>
      <c r="E6" s="337" t="n"/>
      <c r="F6" s="337" t="n"/>
      <c r="G6" s="12" t="n"/>
      <c r="H6" s="12" t="n"/>
      <c r="I6" s="12" t="n"/>
      <c r="J6" s="12" t="n"/>
      <c r="K6" s="12" t="n"/>
      <c r="L6" s="12" t="n"/>
      <c r="M6" s="360" t="inlineStr">
        <is>
          <t>Armed or unarmed</t>
        </is>
      </c>
      <c r="N6" s="361" t="n"/>
      <c r="O6" s="165" t="inlineStr">
        <is>
          <t>Unarmed</t>
        </is>
      </c>
      <c r="P6" s="12" t="n"/>
      <c r="Q6" s="12" t="n"/>
      <c r="R6" s="12" t="n"/>
      <c r="S6" s="12" t="n"/>
      <c r="T6" s="12" t="n"/>
      <c r="U6" s="337" t="n"/>
      <c r="V6" s="3">
        <f>IF(MONTH($V$3)&lt;&gt;MONTH($V$3-WEEKDAY($V$3,1)+(ROW(V6)-ROW($V$5))*7+(COLUMN(V6)-COLUMN($V$5)+1)),"",$V$3-WEEKDAY($V$3,1)+(ROW(V6)-ROW($V$5))*7+(COLUMN(V6)-COLUMN($V$5)+1))</f>
        <v/>
      </c>
      <c r="W6" s="3">
        <f>IF(MONTH($V$3)&lt;&gt;MONTH($V$3-WEEKDAY($V$3,1)+(ROW(W6)-ROW($V$5))*7+(COLUMN(W6)-COLUMN($V$5)+1)),"",$V$3-WEEKDAY($V$3,1)+(ROW(W6)-ROW($V$5))*7+(COLUMN(W6)-COLUMN($V$5)+1))</f>
        <v/>
      </c>
      <c r="X6" s="3">
        <f>IF(MONTH($V$3)&lt;&gt;MONTH($V$3-WEEKDAY($V$3,1)+(ROW(X6)-ROW($V$5))*7+(COLUMN(X6)-COLUMN($V$5)+1)),"",$V$3-WEEKDAY($V$3,1)+(ROW(X6)-ROW($V$5))*7+(COLUMN(X6)-COLUMN($V$5)+1))</f>
        <v/>
      </c>
      <c r="Y6" s="3">
        <f>IF(MONTH($V$3)&lt;&gt;MONTH($V$3-WEEKDAY($V$3,1)+(ROW(Y6)-ROW($V$5))*7+(COLUMN(Y6)-COLUMN($V$5)+1)),"",$V$3-WEEKDAY($V$3,1)+(ROW(Y6)-ROW($V$5))*7+(COLUMN(Y6)-COLUMN($V$5)+1))</f>
        <v/>
      </c>
      <c r="Z6" s="3">
        <f>IF(MONTH($V$3)&lt;&gt;MONTH($V$3-WEEKDAY($V$3,1)+(ROW(Z6)-ROW($V$5))*7+(COLUMN(Z6)-COLUMN($V$5)+1)),"",$V$3-WEEKDAY($V$3,1)+(ROW(Z6)-ROW($V$5))*7+(COLUMN(Z6)-COLUMN($V$5)+1))</f>
        <v/>
      </c>
      <c r="AA6" s="3">
        <f>IF(MONTH($V$3)&lt;&gt;MONTH($V$3-WEEKDAY($V$3,1)+(ROW(AA6)-ROW($V$5))*7+(COLUMN(AA6)-COLUMN($V$5)+1)),"",$V$3-WEEKDAY($V$3,1)+(ROW(AA6)-ROW($V$5))*7+(COLUMN(AA6)-COLUMN($V$5)+1))</f>
        <v/>
      </c>
      <c r="AB6" s="3">
        <f>IF(MONTH($V$3)&lt;&gt;MONTH($V$3-WEEKDAY($V$3,1)+(ROW(AB6)-ROW($V$5))*7+(COLUMN(AB6)-COLUMN($V$5)+1)),"",$V$3-WEEKDAY($V$3,1)+(ROW(AB6)-ROW($V$5))*7+(COLUMN(AB6)-COLUMN($V$5)+1))</f>
        <v/>
      </c>
      <c r="AC6" s="337" t="n"/>
      <c r="AD6" s="166" t="inlineStr">
        <is>
          <t>After:</t>
        </is>
      </c>
      <c r="AE6" s="5" t="n">
        <v>8</v>
      </c>
      <c r="AF6" s="314" t="n"/>
      <c r="AJ6" s="330" t="n"/>
      <c r="AL6" s="318" t="n"/>
    </row>
    <row r="7" ht="14.1" customHeight="1" s="328" thickBot="1">
      <c r="A7" s="337" t="n"/>
      <c r="B7" s="337" t="n"/>
      <c r="C7" s="342" t="inlineStr">
        <is>
          <t>Queenstown</t>
        </is>
      </c>
      <c r="D7" s="337" t="n"/>
      <c r="E7" s="337" t="n"/>
      <c r="F7" s="337" t="n"/>
      <c r="G7" s="12" t="n"/>
      <c r="H7" s="343" t="n"/>
      <c r="I7" s="337" t="n"/>
      <c r="J7" s="343" t="n"/>
      <c r="K7" s="343" t="n"/>
      <c r="L7" s="343" t="n"/>
      <c r="M7" s="358" t="inlineStr">
        <is>
          <t>Agency</t>
        </is>
      </c>
      <c r="N7" s="359" t="n"/>
      <c r="O7" s="13" t="inlineStr">
        <is>
          <t>Caricom</t>
        </is>
      </c>
      <c r="P7" s="12" t="n"/>
      <c r="Q7" s="12" t="n"/>
      <c r="R7" s="12" t="n"/>
      <c r="S7" s="12" t="n"/>
      <c r="T7" s="12" t="n"/>
      <c r="U7" s="337" t="n"/>
      <c r="V7" s="3">
        <f>IF(MONTH($V$3)&lt;&gt;MONTH($V$3-WEEKDAY($V$3,1)+(ROW(V7)-ROW($V$5))*7+(COLUMN(V7)-COLUMN($V$5)+1)),"",$V$3-WEEKDAY($V$3,1)+(ROW(V7)-ROW($V$5))*7+(COLUMN(V7)-COLUMN($V$5)+1))</f>
        <v/>
      </c>
      <c r="W7" s="3">
        <f>IF(MONTH($V$3)&lt;&gt;MONTH($V$3-WEEKDAY($V$3,1)+(ROW(W7)-ROW($V$5))*7+(COLUMN(W7)-COLUMN($V$5)+1)),"",$V$3-WEEKDAY($V$3,1)+(ROW(W7)-ROW($V$5))*7+(COLUMN(W7)-COLUMN($V$5)+1))</f>
        <v/>
      </c>
      <c r="X7" s="3">
        <f>IF(MONTH($V$3)&lt;&gt;MONTH($V$3-WEEKDAY($V$3,1)+(ROW(X7)-ROW($V$5))*7+(COLUMN(X7)-COLUMN($V$5)+1)),"",$V$3-WEEKDAY($V$3,1)+(ROW(X7)-ROW($V$5))*7+(COLUMN(X7)-COLUMN($V$5)+1))</f>
        <v/>
      </c>
      <c r="Y7" s="3">
        <f>IF(MONTH($V$3)&lt;&gt;MONTH($V$3-WEEKDAY($V$3,1)+(ROW(Y7)-ROW($V$5))*7+(COLUMN(Y7)-COLUMN($V$5)+1)),"",$V$3-WEEKDAY($V$3,1)+(ROW(Y7)-ROW($V$5))*7+(COLUMN(Y7)-COLUMN($V$5)+1))</f>
        <v/>
      </c>
      <c r="Z7" s="3">
        <f>IF(MONTH($V$3)&lt;&gt;MONTH($V$3-WEEKDAY($V$3,1)+(ROW(Z7)-ROW($V$5))*7+(COLUMN(Z7)-COLUMN($V$5)+1)),"",$V$3-WEEKDAY($V$3,1)+(ROW(Z7)-ROW($V$5))*7+(COLUMN(Z7)-COLUMN($V$5)+1))</f>
        <v/>
      </c>
      <c r="AA7" s="3">
        <f>IF(MONTH($V$3)&lt;&gt;MONTH($V$3-WEEKDAY($V$3,1)+(ROW(AA7)-ROW($V$5))*7+(COLUMN(AA7)-COLUMN($V$5)+1)),"",$V$3-WEEKDAY($V$3,1)+(ROW(AA7)-ROW($V$5))*7+(COLUMN(AA7)-COLUMN($V$5)+1))</f>
        <v/>
      </c>
      <c r="AB7" s="3">
        <f>IF(MONTH($V$3)&lt;&gt;MONTH($V$3-WEEKDAY($V$3,1)+(ROW(AB7)-ROW($V$5))*7+(COLUMN(AB7)-COLUMN($V$5)+1)),"",$V$3-WEEKDAY($V$3,1)+(ROW(AB7)-ROW($V$5))*7+(COLUMN(AB7)-COLUMN($V$5)+1))</f>
        <v/>
      </c>
      <c r="AC7" s="337" t="n"/>
      <c r="AD7" s="337" t="n"/>
      <c r="AE7" s="337" t="n"/>
      <c r="AF7" s="314" t="n"/>
      <c r="AJ7" s="330" t="n"/>
      <c r="AL7" s="318" t="n"/>
    </row>
    <row r="8">
      <c r="A8" s="337" t="n"/>
      <c r="B8" s="337" t="n"/>
      <c r="C8" s="342" t="inlineStr">
        <is>
          <t>Georgetown, Guyana</t>
        </is>
      </c>
      <c r="D8" s="337" t="n"/>
      <c r="E8" s="337" t="n"/>
      <c r="F8" s="337" t="n"/>
      <c r="G8" s="12" t="n"/>
      <c r="H8" s="12" t="n"/>
      <c r="I8" s="12" t="n"/>
      <c r="J8" s="12" t="n"/>
      <c r="K8" s="12" t="n"/>
      <c r="L8" s="12" t="n"/>
      <c r="M8" s="362" t="n"/>
      <c r="N8" s="337" t="n"/>
      <c r="O8" s="337" t="n"/>
      <c r="P8" s="12" t="n"/>
      <c r="Q8" s="12" t="n"/>
      <c r="R8" s="12" t="n"/>
      <c r="S8" s="12" t="n"/>
      <c r="T8" s="12" t="n"/>
      <c r="U8" s="337" t="n"/>
      <c r="V8" s="3">
        <f>IF(MONTH($V$3)&lt;&gt;MONTH($V$3-WEEKDAY($V$3,1)+(ROW(V8)-ROW($V$5))*7+(COLUMN(V8)-COLUMN($V$5)+1)),"",$V$3-WEEKDAY($V$3,1)+(ROW(V8)-ROW($V$5))*7+(COLUMN(V8)-COLUMN($V$5)+1))</f>
        <v/>
      </c>
      <c r="W8" s="3">
        <f>IF(MONTH($V$3)&lt;&gt;MONTH($V$3-WEEKDAY($V$3,1)+(ROW(W8)-ROW($V$5))*7+(COLUMN(W8)-COLUMN($V$5)+1)),"",$V$3-WEEKDAY($V$3,1)+(ROW(W8)-ROW($V$5))*7+(COLUMN(W8)-COLUMN($V$5)+1))</f>
        <v/>
      </c>
      <c r="X8" s="3">
        <f>IF(MONTH($V$3)&lt;&gt;MONTH($V$3-WEEKDAY($V$3,1)+(ROW(X8)-ROW($V$5))*7+(COLUMN(X8)-COLUMN($V$5)+1)),"",$V$3-WEEKDAY($V$3,1)+(ROW(X8)-ROW($V$5))*7+(COLUMN(X8)-COLUMN($V$5)+1))</f>
        <v/>
      </c>
      <c r="Y8" s="3">
        <f>IF(MONTH($V$3)&lt;&gt;MONTH($V$3-WEEKDAY($V$3,1)+(ROW(Y8)-ROW($V$5))*7+(COLUMN(Y8)-COLUMN($V$5)+1)),"",$V$3-WEEKDAY($V$3,1)+(ROW(Y8)-ROW($V$5))*7+(COLUMN(Y8)-COLUMN($V$5)+1))</f>
        <v/>
      </c>
      <c r="Z8" s="3">
        <f>IF(MONTH($V$3)&lt;&gt;MONTH($V$3-WEEKDAY($V$3,1)+(ROW(Z8)-ROW($V$5))*7+(COLUMN(Z8)-COLUMN($V$5)+1)),"",$V$3-WEEKDAY($V$3,1)+(ROW(Z8)-ROW($V$5))*7+(COLUMN(Z8)-COLUMN($V$5)+1))</f>
        <v/>
      </c>
      <c r="AA8" s="3">
        <f>IF(MONTH($V$3)&lt;&gt;MONTH($V$3-WEEKDAY($V$3,1)+(ROW(AA8)-ROW($V$5))*7+(COLUMN(AA8)-COLUMN($V$5)+1)),"",$V$3-WEEKDAY($V$3,1)+(ROW(AA8)-ROW($V$5))*7+(COLUMN(AA8)-COLUMN($V$5)+1))</f>
        <v/>
      </c>
      <c r="AB8" s="3">
        <f>IF(MONTH($V$3)&lt;&gt;MONTH($V$3-WEEKDAY($V$3,1)+(ROW(AB8)-ROW($V$5))*7+(COLUMN(AB8)-COLUMN($V$5)+1)),"",$V$3-WEEKDAY($V$3,1)+(ROW(AB8)-ROW($V$5))*7+(COLUMN(AB8)-COLUMN($V$5)+1))</f>
        <v/>
      </c>
      <c r="AC8" s="337" t="n"/>
      <c r="AD8" s="337" t="n"/>
      <c r="AE8" s="4" t="b">
        <v>1</v>
      </c>
      <c r="AF8" s="314" t="n"/>
      <c r="AJ8" s="330" t="n"/>
      <c r="AL8" s="318" t="n"/>
    </row>
    <row r="9">
      <c r="A9" s="337" t="n"/>
      <c r="B9" s="337" t="n"/>
      <c r="C9" s="342" t="n"/>
      <c r="D9" s="342" t="n"/>
      <c r="E9" s="342" t="n"/>
      <c r="F9" s="342" t="n"/>
      <c r="G9" s="12" t="n"/>
      <c r="H9" s="12" t="n"/>
      <c r="I9" s="12" t="n"/>
      <c r="J9" s="12" t="n"/>
      <c r="K9" s="12" t="n"/>
      <c r="L9" s="12" t="n"/>
      <c r="M9" s="168" t="n"/>
      <c r="N9" s="168" t="n"/>
      <c r="O9" s="12" t="n"/>
      <c r="P9" s="12" t="n"/>
      <c r="Q9" s="12" t="n"/>
      <c r="R9" s="12" t="n"/>
      <c r="S9" s="12" t="n"/>
      <c r="T9" s="12" t="n"/>
      <c r="U9" s="337" t="n"/>
      <c r="V9" s="169" t="n"/>
      <c r="W9" s="169" t="n"/>
      <c r="X9" s="169" t="n"/>
      <c r="Y9" s="169" t="n"/>
      <c r="Z9" s="169" t="n"/>
      <c r="AA9" s="169" t="n"/>
      <c r="AB9" s="169" t="n"/>
      <c r="AC9" s="337" t="n"/>
      <c r="AD9" s="337" t="n"/>
      <c r="AE9" s="4" t="n"/>
      <c r="AF9" s="337" t="n"/>
      <c r="AJ9" s="330" t="n"/>
      <c r="AL9" s="318" t="n"/>
    </row>
    <row r="10" ht="16.5" customHeight="1" s="328">
      <c r="A10" s="337" t="n"/>
      <c r="B10" s="337" t="n"/>
      <c r="C10" s="342" t="inlineStr">
        <is>
          <t>592-223-7560</t>
        </is>
      </c>
      <c r="D10" s="337" t="n"/>
      <c r="E10" s="337" t="n"/>
      <c r="F10" s="337" t="n"/>
      <c r="G10" s="12" t="n"/>
      <c r="H10" s="343" t="n"/>
      <c r="I10" s="337" t="n"/>
      <c r="J10" s="343" t="n"/>
      <c r="K10" s="364" t="inlineStr">
        <is>
          <t>Week Starting:</t>
        </is>
      </c>
      <c r="L10" s="337" t="n"/>
      <c r="M10" s="357" t="n">
        <v>45977</v>
      </c>
      <c r="N10" s="350" t="n"/>
      <c r="O10" s="12" t="n"/>
      <c r="P10" s="12" t="n"/>
      <c r="Q10" s="12" t="n"/>
      <c r="R10" s="12" t="n"/>
      <c r="S10" s="12" t="n"/>
      <c r="T10" s="170" t="inlineStr">
        <is>
          <t>[42]</t>
        </is>
      </c>
      <c r="U10" s="337" t="n"/>
      <c r="V10" s="3">
        <f>IF(MONTH($V$3)&lt;&gt;MONTH($V$3-WEEKDAY($V$3,1)+(ROW(V10)-ROW($V$5))*7+(COLUMN(V10)-COLUMN($V$5)+1)),"",$V$3-WEEKDAY($V$3,1)+(ROW(V10)-ROW($V$5))*7+(COLUMN(V10)-COLUMN($V$5)+1))</f>
        <v/>
      </c>
      <c r="W10" s="3">
        <f>IF(MONTH($V$3)&lt;&gt;MONTH($V$3-WEEKDAY($V$3,1)+(ROW(W10)-ROW($V$5))*7+(COLUMN(W10)-COLUMN($V$5)+1)),"",$V$3-WEEKDAY($V$3,1)+(ROW(W10)-ROW($V$5))*7+(COLUMN(W10)-COLUMN($V$5)+1))</f>
        <v/>
      </c>
      <c r="X10" s="3">
        <f>IF(MONTH($V$3)&lt;&gt;MONTH($V$3-WEEKDAY($V$3,1)+(ROW(X10)-ROW($V$5))*7+(COLUMN(X10)-COLUMN($V$5)+1)),"",$V$3-WEEKDAY($V$3,1)+(ROW(X10)-ROW($V$5))*7+(COLUMN(X10)-COLUMN($V$5)+1))</f>
        <v/>
      </c>
      <c r="Y10" s="3">
        <f>IF(MONTH($V$3)&lt;&gt;MONTH($V$3-WEEKDAY($V$3,1)+(ROW(Y10)-ROW($V$5))*7+(COLUMN(Y10)-COLUMN($V$5)+1)),"",$V$3-WEEKDAY($V$3,1)+(ROW(Y10)-ROW($V$5))*7+(COLUMN(Y10)-COLUMN($V$5)+1))</f>
        <v/>
      </c>
      <c r="Z10" s="3">
        <f>IF(MONTH($V$3)&lt;&gt;MONTH($V$3-WEEKDAY($V$3,1)+(ROW(Z10)-ROW($V$5))*7+(COLUMN(Z10)-COLUMN($V$5)+1)),"",$V$3-WEEKDAY($V$3,1)+(ROW(Z10)-ROW($V$5))*7+(COLUMN(Z10)-COLUMN($V$5)+1))</f>
        <v/>
      </c>
      <c r="AA10" s="3">
        <f>IF(MONTH($V$3)&lt;&gt;MONTH($V$3-WEEKDAY($V$3,1)+(ROW(AA10)-ROW($V$5))*7+(COLUMN(AA10)-COLUMN($V$5)+1)),"",$V$3-WEEKDAY($V$3,1)+(ROW(AA10)-ROW($V$5))*7+(COLUMN(AA10)-COLUMN($V$5)+1))</f>
        <v/>
      </c>
      <c r="AB10" s="3">
        <f>IF(MONTH($V$3)&lt;&gt;MONTH($V$3-WEEKDAY($V$3,1)+(ROW(AB10)-ROW($V$5))*7+(COLUMN(AB10)-COLUMN($V$5)+1)),"",$V$3-WEEKDAY($V$3,1)+(ROW(AB10)-ROW($V$5))*7+(COLUMN(AB10)-COLUMN($V$5)+1))</f>
        <v/>
      </c>
      <c r="AC10" s="337" t="n"/>
      <c r="AD10" s="166" t="inlineStr">
        <is>
          <t>After:</t>
        </is>
      </c>
      <c r="AE10" s="5" t="n">
        <v>40</v>
      </c>
      <c r="AF10" s="315" t="n"/>
    </row>
    <row r="11" ht="15.75" customHeight="1" s="328" thickBot="1">
      <c r="A11" s="337" t="n"/>
      <c r="B11" s="337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311" t="inlineStr">
        <is>
          <t>Carry Forward Hrs:</t>
        </is>
      </c>
      <c r="L11" s="312" t="n">
        <v>0</v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337" t="n"/>
      <c r="V11" s="3">
        <f>IF(MONTH($V$3)&lt;&gt;MONTH($V$3-WEEKDAY($V$3,1)+(ROW(V11)-ROW($V$5))*7+(COLUMN(V11)-COLUMN($V$5)+1)),"",$V$3-WEEKDAY($V$3,1)+(ROW(V11)-ROW($V$5))*7+(COLUMN(V11)-COLUMN($V$5)+1))</f>
        <v/>
      </c>
      <c r="W11" s="3">
        <f>IF(MONTH($V$3)&lt;&gt;MONTH($V$3-WEEKDAY($V$3,1)+(ROW(W11)-ROW($V$5))*7+(COLUMN(W11)-COLUMN($V$5)+1)),"",$V$3-WEEKDAY($V$3,1)+(ROW(W11)-ROW($V$5))*7+(COLUMN(W11)-COLUMN($V$5)+1))</f>
        <v/>
      </c>
      <c r="X11" s="3">
        <f>IF(MONTH($V$3)&lt;&gt;MONTH($V$3-WEEKDAY($V$3,1)+(ROW(X11)-ROW($V$5))*7+(COLUMN(X11)-COLUMN($V$5)+1)),"",$V$3-WEEKDAY($V$3,1)+(ROW(X11)-ROW($V$5))*7+(COLUMN(X11)-COLUMN($V$5)+1))</f>
        <v/>
      </c>
      <c r="Y11" s="3">
        <f>IF(MONTH($V$3)&lt;&gt;MONTH($V$3-WEEKDAY($V$3,1)+(ROW(Y11)-ROW($V$5))*7+(COLUMN(Y11)-COLUMN($V$5)+1)),"",$V$3-WEEKDAY($V$3,1)+(ROW(Y11)-ROW($V$5))*7+(COLUMN(Y11)-COLUMN($V$5)+1))</f>
        <v/>
      </c>
      <c r="Z11" s="3">
        <f>IF(MONTH($V$3)&lt;&gt;MONTH($V$3-WEEKDAY($V$3,1)+(ROW(Z11)-ROW($V$5))*7+(COLUMN(Z11)-COLUMN($V$5)+1)),"",$V$3-WEEKDAY($V$3,1)+(ROW(Z11)-ROW($V$5))*7+(COLUMN(Z11)-COLUMN($V$5)+1))</f>
        <v/>
      </c>
      <c r="AA11" s="3">
        <f>IF(MONTH($V$3)&lt;&gt;MONTH($V$3-WEEKDAY($V$3,1)+(ROW(AA11)-ROW($V$5))*7+(COLUMN(AA11)-COLUMN($V$5)+1)),"",$V$3-WEEKDAY($V$3,1)+(ROW(AA11)-ROW($V$5))*7+(COLUMN(AA11)-COLUMN($V$5)+1))</f>
        <v/>
      </c>
      <c r="AB11" s="3">
        <f>IF(MONTH($V$3)&lt;&gt;MONTH($V$3-WEEKDAY($V$3,1)+(ROW(AB11)-ROW($V$5))*7+(COLUMN(AB11)-COLUMN($V$5)+1)),"",$V$3-WEEKDAY($V$3,1)+(ROW(AB11)-ROW($V$5))*7+(COLUMN(AB11)-COLUMN($V$5)+1))</f>
        <v/>
      </c>
      <c r="AC11" s="337" t="n"/>
      <c r="AD11" s="337" t="n"/>
      <c r="AE11" s="337" t="n"/>
      <c r="AF11" s="314" t="n"/>
      <c r="AJ11" s="319" t="n"/>
      <c r="AK11" s="319" t="n"/>
    </row>
    <row r="12" ht="27.75" customFormat="1" customHeight="1" s="2" thickBot="1">
      <c r="A12" s="171" t="inlineStr">
        <is>
          <t>Day Off</t>
        </is>
      </c>
      <c r="B12" s="172" t="inlineStr">
        <is>
          <t>Holiday Double</t>
        </is>
      </c>
      <c r="C12" s="173" t="inlineStr">
        <is>
          <t>Day of Week</t>
        </is>
      </c>
      <c r="D12" s="174" t="inlineStr">
        <is>
          <t>Time
In</t>
        </is>
      </c>
      <c r="E12" s="174" t="inlineStr">
        <is>
          <t>Time
Out</t>
        </is>
      </c>
      <c r="F12" s="175" t="n"/>
      <c r="G12" s="174" t="inlineStr">
        <is>
          <t>Time
In</t>
        </is>
      </c>
      <c r="H12" s="174" t="inlineStr">
        <is>
          <t>Time
Out</t>
        </is>
      </c>
      <c r="I12" s="176" t="inlineStr">
        <is>
          <t>Total
Hrs</t>
        </is>
      </c>
      <c r="J12" s="176" t="inlineStr">
        <is>
          <t>Location</t>
        </is>
      </c>
      <c r="K12" s="176" t="inlineStr">
        <is>
          <t>Supervisor</t>
        </is>
      </c>
      <c r="L12" s="176" t="inlineStr">
        <is>
          <t>Supervisor Approval</t>
        </is>
      </c>
      <c r="M12" s="174" t="inlineStr">
        <is>
          <t>Regular
Hrs</t>
        </is>
      </c>
      <c r="N12" s="174" t="inlineStr">
        <is>
          <t>Overtime
Hrs</t>
        </is>
      </c>
      <c r="O12" s="174" t="inlineStr">
        <is>
          <t>Hol Hrs</t>
        </is>
      </c>
      <c r="P12" s="174" t="inlineStr">
        <is>
          <t>Responsibilities</t>
        </is>
      </c>
      <c r="Q12" s="174" t="inlineStr">
        <is>
          <t>Risk</t>
        </is>
      </c>
      <c r="R12" s="174" t="inlineStr">
        <is>
          <t>Meals</t>
        </is>
      </c>
      <c r="S12" s="174" t="inlineStr">
        <is>
          <t>Vac Hrs</t>
        </is>
      </c>
      <c r="T12" s="177" t="inlineStr">
        <is>
          <t>Reason for Overtime</t>
        </is>
      </c>
      <c r="U12" s="178" t="inlineStr">
        <is>
          <t>Wkly Reg Avail</t>
        </is>
      </c>
      <c r="V12" s="337" t="inlineStr">
        <is>
          <t>Orig Reg</t>
        </is>
      </c>
      <c r="W12" s="337" t="inlineStr">
        <is>
          <t>Wkly OT Adj</t>
        </is>
      </c>
      <c r="X12" s="337" t="inlineStr">
        <is>
          <t>Week Start</t>
        </is>
      </c>
      <c r="Y12" s="337" t="inlineStr">
        <is>
          <t>Wk Hrs Before</t>
        </is>
      </c>
      <c r="Z12" s="337" t="n"/>
      <c r="AA12" s="337" t="n"/>
      <c r="AB12" s="337" t="n"/>
      <c r="AC12" s="337" t="n"/>
      <c r="AD12" s="337" t="n"/>
      <c r="AE12" s="337" t="n"/>
      <c r="AF12" s="337" t="n"/>
      <c r="AJ12" s="319" t="n"/>
      <c r="AK12" s="319" t="n"/>
    </row>
    <row r="13" hidden="1" ht="15.75" customHeight="1" s="328" thickBot="1">
      <c r="A13" s="179" t="n"/>
      <c r="B13" s="337" t="n"/>
      <c r="C13" s="180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81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  <c r="AD13" s="337" t="n"/>
      <c r="AE13" s="337" t="n"/>
      <c r="AF13" s="337" t="n"/>
    </row>
    <row r="14" ht="24" customHeight="1" s="328" thickBot="1">
      <c r="A14" s="182" t="inlineStr">
        <is>
          <t>On Day</t>
        </is>
      </c>
      <c r="B14" s="183" t="n"/>
      <c r="C14" s="107">
        <f>M10</f>
        <v/>
      </c>
      <c r="D14" s="68" t="n"/>
      <c r="E14" s="184">
        <f>IF(D14="", "",
 IF(D14=TIME(0,0,0), 0,
 IF(AND(D14&gt;=TIME(0,0,1), D14&lt;=TIME(2,0,0)), TIME(7,0,0),
 IF(AND(D14&gt;=TIME(5,0,0), D14&lt;=TIME(8,0,0)), TIME(12,0,0),
 IF(AND(D14&gt;TIME(8,0,0), D14&lt;=TIME(13,59,0)), TIME(15,0,0),
 IF(AND(D14&gt;=TIME(14,0,0), D14&lt;=TIME(17,59,0)), TIME(21,0,0),
 IF(AND(D14&gt;=TIME(18,0,0), D14&lt;=TIME(21,59,0)), TIME(0,0,0),
 IF(AND(D14&gt;=TIME(22,0,0), D14&lt;=TIME(23,59,59)), TIME(7,0,0), ""))))))))</f>
        <v/>
      </c>
      <c r="F14" s="185" t="n"/>
      <c r="G14" s="184">
        <f>E14</f>
        <v/>
      </c>
      <c r="H14" s="68" t="n"/>
      <c r="I14" s="69">
        <f>ROUND(IF(OR(D14="",E14="",E14=0),0,IF(H14="",MOD(E14-D14,1)*24,MOD(H14-D14,1)*24)),2)</f>
        <v/>
      </c>
      <c r="J14" s="186" t="n"/>
      <c r="K14" s="187" t="n"/>
      <c r="L14" s="188" t="n"/>
      <c r="M14" s="144">
        <f>MAX(0,V14-W14)</f>
        <v/>
      </c>
      <c r="N14" s="70">
        <f>(IF(OR($C14="",$D14=""),0,
 IF(OR($A14="Holiday",$A15="Holiday"),
    IF(ISNUMBER(MATCH(TRIM($B14),{"Phagwah","Good Friday","Easter Monday","Labour Day","Christmas","Eid ul Azha","Romans-2","Globe-12","Neptune P1"},0)),0,$I14),
 IF(AND(NOT(OR($A14="Annual Leave",$A15="Annual Leave")),$A14="Off day"),$I14,
  MAX(0,$I14-$V14)
  ))))+W14</f>
        <v/>
      </c>
      <c r="O14" s="70">
        <f>IF(AND(OR($A14="Holiday",$A15="Holiday"),
        ISNUMBER(MATCH(TRIM($B14),{"Phagwah","Good Friday","Easter Monday","Labour Day","Christmas","Eid ul Azha","Romans-2","Globe-12","Neptune P1"},0))),
   $I14,0)</f>
        <v/>
      </c>
      <c r="P14" s="70">
        <f>IF(OR($O$7="Canteen",$O$7="Head Office"),0,IF($I14&lt;=0,0,IF(OR(OR(TRIM($J14)="Hebrews",TRIM($J14)="Romans",TRIM($J14)="Romans-2",TRIM($J14)="Globe",TRIM($J14)="Globe-12",TRIM($J14)="Neptune P1"),AND($I15&gt;0,OR(TRIM($J15)="Hebrews",TRIM($J15)="Romans",TRIM($J15)="Romans-2",TRIM($J15)="Globe",TRIM($J15)="Globe-12",TRIM($J15)="Neptune P1"))),1,0)))</f>
        <v/>
      </c>
      <c r="Q14" s="71" t="n"/>
      <c r="R14" s="70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IF($I14&gt;0,1,0),
      0
   ),
0))</f>
        <v/>
      </c>
      <c r="S14" s="70">
        <f>IF(OR($A14="Annual Leave",$A15="Annual Leave"),IF($A14="Annual Leave",8,0),0)</f>
        <v/>
      </c>
      <c r="T14" s="72" t="n"/>
      <c r="U14" s="178">
        <f>MAX(0,40-Y14)</f>
        <v/>
      </c>
      <c r="V14" s="189">
        <f>IF(OR($A14="Holiday",$A15="Holiday"),IF(OR($C14="",$D14=""),0,
 IF(OR($A14="Holiday",$A15="Holiday"),0,
 IF(AND(NOT(OR($A14="Annual Leave",$A15="Annual Leave")),$A14="Off day"),0,
  IF($I14+$I15&gt;=8,IF($I14&gt;=8,8,$I14),$I14)
  )))+IF(MOD(ROW(),2)=0,8,0),IF(OR($C14="",$D14=""),0,
 IF(OR($A14="Holiday",$A15="Holiday"),0,
 IF(AND(NOT(OR($A14="Annual Leave",$A15="Annual Leave")),$A14="Off day"),0,
  IF($I14+$I15&gt;=8,IF($I14&gt;=8,8,$I14),$I14)
  ))))</f>
        <v/>
      </c>
      <c r="W14" s="189">
        <f>MAX(0,V14-U14)</f>
        <v/>
      </c>
      <c r="X14" s="189">
        <f>IF(C14="","",C14-WEEKDAY(C14,1)+1)</f>
        <v/>
      </c>
      <c r="Y14" s="189">
        <f>IF(X14=X14,$L$11,0)</f>
        <v/>
      </c>
      <c r="Z14" s="189" t="n"/>
      <c r="AA14" s="189" t="n"/>
      <c r="AB14" s="189" t="n"/>
      <c r="AC14" s="337" t="n"/>
      <c r="AD14" s="337" t="n"/>
      <c r="AE14" s="337" t="n"/>
      <c r="AF14" s="337" t="n"/>
    </row>
    <row r="15" ht="24" customHeight="1" s="328" thickBot="1">
      <c r="A15" s="182" t="inlineStr">
        <is>
          <t>On Day</t>
        </is>
      </c>
      <c r="B15" s="183" t="n"/>
      <c r="C15" s="108">
        <f>C14</f>
        <v/>
      </c>
      <c r="D15" s="73" t="n"/>
      <c r="E15" s="190">
        <f>IF(D15="", "",
 IF(D15=TIME(0,0,0), 0,
 IF(AND(D15&gt;=TIME(0,0,1), D15&lt;=TIME(2,0,0)), TIME(7,0,0),
 IF(AND(D15&gt;=TIME(5,0,0), D15&lt;=TIME(8,0,0)), TIME(12,0,0),
 IF(AND(D15&gt;TIME(8,0,0), D15&lt;=TIME(13,59,0)), TIME(15,0,0),
 IF(AND(D15&gt;=TIME(14,0,0), D15&lt;=TIME(17,59,0)), TIME(21,0,0),
 IF(AND(D15&gt;=TIME(18,0,0), D15&lt;=TIME(21,59,0)), TIME(0,0,0),
 IF(AND(D15&gt;=TIME(22,0,0), D15&lt;=TIME(23,59,59)), TIME(7,0,0), ""))))))))</f>
        <v/>
      </c>
      <c r="F15" s="191" t="n"/>
      <c r="G15" s="190">
        <f>E15</f>
        <v/>
      </c>
      <c r="H15" s="73" t="n"/>
      <c r="I15" s="74">
        <f>ROUND(IF(OR(D15="",E15="",E15=0),0,IF(H15="",MOD(E15-D15,1)*24,MOD(H15-D15,1)*24)),2)</f>
        <v/>
      </c>
      <c r="J15" s="186" t="n"/>
      <c r="K15" s="187" t="n"/>
      <c r="L15" s="188" t="n"/>
      <c r="M15" s="144">
        <f>MAX(0,V15-W15)</f>
        <v/>
      </c>
      <c r="N15" s="75">
        <f>(IF(OR($C15="",$D15=""),0,
 IF(OR($A14="Holiday",$A15="Holiday"),
    IF(ISNUMBER(MATCH(TRIM($B15),{"Phagwah","Good Friday","Easter Monday","Labour Day","Christmas","Eid ul Azha","Romans-2","Globe-12","Neptune P1"},0)),0,$I15),
 IF(AND(NOT(OR($A14="Annual Leave",$A15="Annual Leave")),$A15="Off day"),$I15,
  MAX(0,$I15-$V15)
  ))))+W15</f>
        <v/>
      </c>
      <c r="O15" s="75">
        <f>IF(AND(OR($A14="Holiday",$A15="Holiday"),
        ISNUMBER(MATCH(TRIM($B15),{"Phagwah","Good Friday","Easter Monday","Labour Day","Christmas","Eid ul Azha","Romans-2","Globe-12","Neptune P1"},0))),
   $I15,0)</f>
        <v/>
      </c>
      <c r="P15" s="75">
        <f>IF(OR($O$7="Canteen",$O$7="Head Office"),0,IF($I15&lt;=0,0,IF(AND($I14&lt;=0,OR(TRIM($J15)="Hebrews",TRIM($J15)="Romans",TRIM($J15)="Romans-2",TRIM($J15)="Globe",TRIM($J15)="Globe-12",TRIM($J15)="Neptune P1")),1,0)))</f>
        <v/>
      </c>
      <c r="Q15" s="76" t="n"/>
      <c r="R15" s="75">
        <f>IF(OR($O$7="Canteen",$O$7="Head Office"),0,IF(OR($I14&gt;0,$I15&gt;0),
   IF( OR(
        AND($D14&gt;=TIME(5,0,0),$D14&lt;=TIME(7,0,0)),
        AND($D14&gt;=TIME(14,0,0),$D14&lt;=TIME(15,0,0)),
        AND($D14&gt;=TIME(18,0,0),$D14&lt;=TIME(19,0,0)),
        AND($D15&gt;=TIME(5,0,0),$D15&lt;=TIME(7,0,0)),
        AND($D15&gt;=TIME(14,0,0),$D15&lt;=TIME(15,0,0)),
        AND($D15&gt;=TIME(18,0,0),$D15&lt;=TIME(19,0,0))
      ),
      IF(AND($I14=0,$I15&gt;0),1,0),
      0
   ),
0))</f>
        <v/>
      </c>
      <c r="S15" s="75">
        <f>IF(OR($A14="Annual Leave",$A15="Annual Leave"),IF(AND($A14&lt;&gt;"Annual Leave",$A15="Annual Leave"),8,0),0)</f>
        <v/>
      </c>
      <c r="T15" s="77" t="n"/>
      <c r="U15" s="178">
        <f>MAX(0,40-Y15)</f>
        <v/>
      </c>
      <c r="V15" s="189">
        <f>IF(OR($A15="Holiday",$A14="Holiday"),IF(OR($C15="",$D15=""),0,
 IF(OR($A14="Holiday",$A15="Holiday"),0,
 IF(AND(NOT(OR($A14="Annual Leave",$A15="Annual Leave")),$A15="Off day"),0,
  IF($I14+$I15&gt;=8,IF($I14&gt;=8,0,8-$I14),$I15)
  )))+IF(MOD(ROW(),2)=0,8,0),IF(OR($C15="",$D15=""),0,
 IF(OR($A14="Holiday",$A15="Holiday"),0,
 IF(AND(NOT(OR($A14="Annual Leave",$A15="Annual Leave")),$A15="Off day"),0,
  IF($I14+$I15&gt;=8,IF($I14&gt;=8,0,8-$I14),$I15)
  ))))</f>
        <v/>
      </c>
      <c r="W15" s="189">
        <f>MAX(0,V15-U15)</f>
        <v/>
      </c>
      <c r="X15" s="189">
        <f>IF(C15="","",C15-WEEKDAY(C15,1)+1)</f>
        <v/>
      </c>
      <c r="Y15" s="189">
        <f>SUMPRODUCT(($X$14:$X14=X15)*(($V$14:$V14)+($O$14:$O14)))+IF(X15=X14,$L$11,0)</f>
        <v/>
      </c>
      <c r="Z15" s="189" t="n"/>
      <c r="AA15" s="189" t="n"/>
      <c r="AB15" s="189" t="n"/>
      <c r="AC15" s="337" t="n"/>
      <c r="AD15" s="337" t="n"/>
      <c r="AE15" s="337" t="n"/>
      <c r="AF15" s="337" t="n"/>
    </row>
    <row r="16" ht="24" customHeight="1" s="328" thickBot="1">
      <c r="A16" s="192" t="inlineStr">
        <is>
          <t>On Day</t>
        </is>
      </c>
      <c r="B16" s="193" t="n"/>
      <c r="C16" s="109">
        <f>C14+1</f>
        <v/>
      </c>
      <c r="D16" s="14" t="n"/>
      <c r="E16" s="194">
        <f>IF(D16="", "",
 IF(D16=TIME(0,0,0), 0,
 IF(AND(D16&gt;=TIME(0,0,1), D16&lt;=TIME(2,0,0)), TIME(7,0,0),
 IF(AND(D16&gt;=TIME(5,0,0), D16&lt;=TIME(8,0,0)), TIME(12,0,0),
 IF(AND(D16&gt;TIME(8,0,0), D16&lt;=TIME(13,59,0)), TIME(15,0,0),
 IF(AND(D16&gt;=TIME(14,0,0), D16&lt;=TIME(17,59,0)), TIME(21,0,0),
 IF(AND(D16&gt;=TIME(18,0,0), D16&lt;=TIME(21,59,0)), TIME(0,0,0),
 IF(AND(D16&gt;=TIME(22,0,0), D16&lt;=TIME(23,59,59)), TIME(7,0,0), ""))))))))</f>
        <v/>
      </c>
      <c r="F16" s="195" t="n"/>
      <c r="G16" s="194">
        <f>E16</f>
        <v/>
      </c>
      <c r="H16" s="14" t="n"/>
      <c r="I16" s="40">
        <f>ROUND(IF(OR(D16="",E16="",E16=0),0,IF(H16="",MOD(E16-D16,1)*24,MOD(H16-D16,1)*24)),2)</f>
        <v/>
      </c>
      <c r="J16" s="196" t="n"/>
      <c r="K16" s="197" t="n"/>
      <c r="L16" s="188" t="n"/>
      <c r="M16" s="145">
        <f>MAX(0,V16-W16)</f>
        <v/>
      </c>
      <c r="N16" s="15">
        <f>(IF(OR($C16="",$D16=""),0,
 IF(OR($A16="Holiday",$A17="Holiday"),
    IF(ISNUMBER(MATCH(TRIM($B16),{"Phagwah","Good Friday","Easter Monday","Labour Day","Christmas","Eid ul Azha","Romans-2","Globe-12","Neptune P1"},0)),0,$I16),
 IF(AND(NOT(OR($A16="Annual Leave",$A17="Annual Leave")),$A16="Off day"),$I16,
  MAX(0,$I16-$V16)
  ))))+W16</f>
        <v/>
      </c>
      <c r="O16" s="15">
        <f>IF(AND(OR($A16="Holiday",$A17="Holiday"),
        ISNUMBER(MATCH(TRIM($B16),{"Phagwah","Good Friday","Easter Monday","Labour Day","Christmas","Eid ul Azha","Romans-2","Globe-12","Neptune P1"},0))),
   $I16,0)</f>
        <v/>
      </c>
      <c r="P16" s="15">
        <f>IF(OR($O$7="Canteen",$O$7="Head Office"),0,IF($I16&lt;=0,0,IF(OR(OR(TRIM($J16)="Hebrews",TRIM($J16)="Romans",TRIM($J16)="Romans-2",TRIM($J16)="Globe",TRIM($J16)="Globe-12",TRIM($J16)="Neptune P1"),AND($I17&gt;0,OR(TRIM($J17)="Hebrews",TRIM($J17)="Romans",TRIM($J17)="Romans-2",TRIM($J17)="Globe",TRIM($J17)="Globe-12",TRIM($J17)="Neptune P1"))),1,0)))</f>
        <v/>
      </c>
      <c r="Q16" s="16" t="n"/>
      <c r="R16" s="15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IF($I16&gt;0,1,0),
      0
   ),
0))</f>
        <v/>
      </c>
      <c r="S16" s="15">
        <f>IF(OR($A16="Annual Leave",$A17="Annual Leave"),IF($A16="Annual Leave",8,0),0)</f>
        <v/>
      </c>
      <c r="T16" s="110" t="n"/>
      <c r="U16" s="178">
        <f>MAX(0,40-Y16)</f>
        <v/>
      </c>
      <c r="V16" s="337">
        <f>IF(OR($A16="Holiday",$A17="Holiday"),IF(OR($C16="",$D16=""),0,
 IF(OR($A16="Holiday",$A17="Holiday"),0,
 IF(AND(NOT(OR($A16="Annual Leave",$A17="Annual Leave")),$A16="Off day"),0,
  IF($I16+$I17&gt;=8,IF($I16&gt;=8,8,$I16),$I16)
  )))+IF(MOD(ROW(),2)=0,8,0),IF(OR($C16="",$D16=""),0,
 IF(OR($A16="Holiday",$A17="Holiday"),0,
 IF(AND(NOT(OR($A16="Annual Leave",$A17="Annual Leave")),$A16="Off day"),0,
  IF($I16+$I17&gt;=8,IF($I16&gt;=8,8,$I16),$I16)
  ))))</f>
        <v/>
      </c>
      <c r="W16" s="337">
        <f>MAX(0,V16-U16)</f>
        <v/>
      </c>
      <c r="X16" s="337">
        <f>IF(C16="","",C16-WEEKDAY(C16,1)+1)</f>
        <v/>
      </c>
      <c r="Y16" s="337">
        <f>SUMPRODUCT(($X$14:$X15=X16)*(($V$14:$V15)+($O$14:$O15)))+IF(X16=X14,$L$11,0)</f>
        <v/>
      </c>
      <c r="Z16" s="337" t="n"/>
      <c r="AA16" s="337" t="n"/>
      <c r="AB16" s="337" t="n"/>
      <c r="AC16" s="337" t="n"/>
      <c r="AD16" s="337" t="n"/>
      <c r="AE16" s="337" t="n"/>
      <c r="AF16" s="337" t="n"/>
    </row>
    <row r="17" ht="24" customHeight="1" s="328" thickBot="1">
      <c r="A17" s="192" t="inlineStr">
        <is>
          <t>On Day</t>
        </is>
      </c>
      <c r="B17" s="193" t="n"/>
      <c r="C17" s="109">
        <f>C16</f>
        <v/>
      </c>
      <c r="D17" s="17" t="n"/>
      <c r="E17" s="198">
        <f>IF(D17="", "",
 IF(D17=TIME(0,0,0), 0,
 IF(AND(D17&gt;=TIME(0,0,1), D17&lt;=TIME(2,0,0)), TIME(7,0,0),
 IF(AND(D17&gt;=TIME(5,0,0), D17&lt;=TIME(8,0,0)), TIME(12,0,0),
 IF(AND(D17&gt;TIME(8,0,0), D17&lt;=TIME(13,59,0)), TIME(15,0,0),
 IF(AND(D17&gt;=TIME(14,0,0), D17&lt;=TIME(17,59,0)), TIME(21,0,0),
 IF(AND(D17&gt;=TIME(18,0,0), D17&lt;=TIME(21,59,0)), TIME(0,0,0),
 IF(AND(D17&gt;=TIME(22,0,0), D17&lt;=TIME(23,59,59)), TIME(7,0,0), ""))))))))</f>
        <v/>
      </c>
      <c r="F17" s="195" t="n"/>
      <c r="G17" s="198">
        <f>E17</f>
        <v/>
      </c>
      <c r="H17" s="17" t="n"/>
      <c r="I17" s="40">
        <f>ROUND(IF(OR(D17="",E17="",E17=0),0,IF(H17="",MOD(E17-D17,1)*24,MOD(H17-D17,1)*24)),2)</f>
        <v/>
      </c>
      <c r="J17" s="199" t="n"/>
      <c r="K17" s="197" t="n"/>
      <c r="L17" s="188" t="n"/>
      <c r="M17" s="145">
        <f>MAX(0,V17-W17)</f>
        <v/>
      </c>
      <c r="N17" s="18">
        <f>(IF(OR($C17="",$D17=""),0,
 IF(OR($A16="Holiday",$A17="Holiday"),
    IF(ISNUMBER(MATCH(TRIM($B17),{"Phagwah","Good Friday","Easter Monday","Labour Day","Christmas","Eid ul Azha","Romans-2","Globe-12","Neptune P1"},0)),0,$I17),
 IF(AND(NOT(OR($A16="Annual Leave",$A17="Annual Leave")),$A17="Off day"),$I17,
  MAX(0,$I17-$V17)
  ))))+W17</f>
        <v/>
      </c>
      <c r="O17" s="18">
        <f>IF(AND(OR($A16="Holiday",$A17="Holiday"),
        ISNUMBER(MATCH(TRIM($B17),{"Phagwah","Good Friday","Easter Monday","Labour Day","Christmas","Eid ul Azha","Romans-2","Globe-12","Neptune P1"},0))),
   $I17,0)</f>
        <v/>
      </c>
      <c r="P17" s="18">
        <f>IF(OR($O$7="Canteen",$O$7="Head Office"),0,IF($I17&lt;=0,0,IF(AND($I16&lt;=0,OR(TRIM($J17)="Hebrews",TRIM($J17)="Romans",TRIM($J17)="Romans-2",TRIM($J17)="Globe",TRIM($J17)="Globe-12",TRIM($J17)="Neptune P1")),1,0)))</f>
        <v/>
      </c>
      <c r="Q17" s="19" t="n"/>
      <c r="R17" s="18">
        <f>IF(OR($O$7="Canteen",$O$7="Head Office"),0,IF(OR($I16&gt;0,$I17&gt;0),
   IF( OR(
        AND($D16&gt;=TIME(5,0,0),$D16&lt;=TIME(7,0,0)),
        AND($D16&gt;=TIME(14,0,0),$D16&lt;=TIME(15,0,0)),
        AND($D16&gt;=TIME(18,0,0),$D16&lt;=TIME(19,0,0)),
        AND($D17&gt;=TIME(5,0,0),$D17&lt;=TIME(7,0,0)),
        AND($D17&gt;=TIME(14,0,0),$D17&lt;=TIME(15,0,0)),
        AND($D17&gt;=TIME(18,0,0),$D17&lt;=TIME(19,0,0))
      ),
      IF(AND($I16=0,$I17&gt;0),1,0),
      0
   ),
0))</f>
        <v/>
      </c>
      <c r="S17" s="18">
        <f>IF(OR($A16="Annual Leave",$A17="Annual Leave"),IF(AND($A16&lt;&gt;"Annual Leave",$A17="Annual Leave"),8,0),0)</f>
        <v/>
      </c>
      <c r="T17" s="41" t="n"/>
      <c r="U17" s="178">
        <f>MAX(0,40-Y17)</f>
        <v/>
      </c>
      <c r="V17" s="337">
        <f>IF(OR($A17="Holiday",$A16="Holiday"),IF(OR($C17="",$D17=""),0,
 IF(OR($A16="Holiday",$A17="Holiday"),0,
 IF(AND(NOT(OR($A16="Annual Leave",$A17="Annual Leave")),$A17="Off day"),0,
  IF($I16+$I17&gt;=8,IF($I16&gt;=8,0,8-$I16),$I17)
  )))+IF(MOD(ROW(),2)=0,8,0),IF(OR($C17="",$D17=""),0,
 IF(OR($A16="Holiday",$A17="Holiday"),0,
 IF(AND(NOT(OR($A16="Annual Leave",$A17="Annual Leave")),$A17="Off day"),0,
  IF($I16+$I17&gt;=8,IF($I16&gt;=8,0,8-$I16),$I17)
  ))))</f>
        <v/>
      </c>
      <c r="W17" s="337">
        <f>MAX(0,V17-U17)</f>
        <v/>
      </c>
      <c r="X17" s="337">
        <f>IF(C17="","",C17-WEEKDAY(C17,1)+1)</f>
        <v/>
      </c>
      <c r="Y17" s="337">
        <f>SUMPRODUCT(($X$14:$X16=X17)*(($V$14:$V16)+($O$14:$O16)))+IF(X17=X14,$L$11,0)</f>
        <v/>
      </c>
      <c r="Z17" s="337" t="n"/>
      <c r="AA17" s="337" t="n"/>
      <c r="AB17" s="337" t="n"/>
      <c r="AC17" s="337" t="n"/>
      <c r="AD17" s="337" t="n"/>
      <c r="AE17" s="337" t="n"/>
      <c r="AF17" s="337" t="n"/>
    </row>
    <row r="18" ht="24" customHeight="1" s="328" thickBot="1">
      <c r="A18" s="200" t="inlineStr">
        <is>
          <t>On Day</t>
        </is>
      </c>
      <c r="B18" s="201" t="n"/>
      <c r="C18" s="111">
        <f>C16+1</f>
        <v/>
      </c>
      <c r="D18" s="42" t="n"/>
      <c r="E18" s="202">
        <f>IF(D18="", "",
 IF(D18=TIME(0,0,0), 0,
 IF(AND(D18&gt;=TIME(0,0,1), D18&lt;=TIME(2,0,0)), TIME(7,0,0),
 IF(AND(D18&gt;=TIME(5,0,0), D18&lt;=TIME(8,0,0)), TIME(12,0,0),
 IF(AND(D18&gt;TIME(8,0,0), D18&lt;=TIME(13,59,0)), TIME(15,0,0),
 IF(AND(D18&gt;=TIME(14,0,0), D18&lt;=TIME(17,59,0)), TIME(21,0,0),
 IF(AND(D18&gt;=TIME(18,0,0), D18&lt;=TIME(21,59,0)), TIME(0,0,0),
 IF(AND(D18&gt;=TIME(22,0,0), D18&lt;=TIME(23,59,59)), TIME(7,0,0), ""))))))))</f>
        <v/>
      </c>
      <c r="F18" s="203" t="n"/>
      <c r="G18" s="202">
        <f>E18</f>
        <v/>
      </c>
      <c r="H18" s="42" t="n"/>
      <c r="I18" s="43">
        <f>ROUND(IF(OR(D18="",E18="",E18=0),0,IF(H18="",MOD(E18-D18,1)*24,MOD(H18-D18,1)*24)),2)</f>
        <v/>
      </c>
      <c r="J18" s="204" t="n"/>
      <c r="K18" s="205" t="n"/>
      <c r="L18" s="188" t="n"/>
      <c r="M18" s="146">
        <f>MAX(0,V18-W18)</f>
        <v/>
      </c>
      <c r="N18" s="44">
        <f>(IF(OR($C18="",$D18=""),0,
 IF(OR($A18="Holiday",$A19="Holiday"),
    IF(ISNUMBER(MATCH(TRIM($B18),{"Phagwah","Good Friday","Easter Monday","Labour Day","Christmas","Eid ul Azha","Romans-2","Globe-12","Neptune P1"},0)),0,$I18),
 IF(AND(NOT(OR($A18="Annual Leave",$A19="Annual Leave")),$A18="Off day"),$I18,
  MAX(0,$I18-$V18)
  ))))+W18</f>
        <v/>
      </c>
      <c r="O18" s="44">
        <f>IF(AND(OR($A18="Holiday",$A19="Holiday"),
        ISNUMBER(MATCH(TRIM($B18),{"Phagwah","Good Friday","Easter Monday","Labour Day","Christmas","Eid ul Azha","Romans-2","Globe-12","Neptune P1"},0))),
   $I18,0)</f>
        <v/>
      </c>
      <c r="P18" s="44">
        <f>IF(OR($O$7="Canteen",$O$7="Head Office"),0,IF($I18&lt;=0,0,IF(OR(OR(TRIM($J18)="Hebrews",TRIM($J18)="Romans",TRIM($J18)="Romans-2",TRIM($J18)="Globe",TRIM($J18)="Globe-12",TRIM($J18)="Neptune P1"),AND($I19&gt;0,OR(TRIM($J19)="Hebrews",TRIM($J19)="Romans",TRIM($J19)="Romans-2",TRIM($J19)="Globe",TRIM($J19)="Globe-12",TRIM($J19)="Neptune P1"))),1,0)))</f>
        <v/>
      </c>
      <c r="Q18" s="45" t="n"/>
      <c r="R18" s="44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IF($I18&gt;0,1,0),
      0
   ),
0))</f>
        <v/>
      </c>
      <c r="S18" s="44">
        <f>IF(OR($A18="Annual Leave",$A19="Annual Leave"),IF($A18="Annual Leave",8,0),0)</f>
        <v/>
      </c>
      <c r="T18" s="46" t="n"/>
      <c r="U18" s="178">
        <f>MAX(0,40-Y18)</f>
        <v/>
      </c>
      <c r="V18" s="337">
        <f>IF(OR($A18="Holiday",$A19="Holiday"),IF(OR($C18="",$D18=""),0,
 IF(OR($A18="Holiday",$A19="Holiday"),0,
 IF(AND(NOT(OR($A18="Annual Leave",$A19="Annual Leave")),$A18="Off day"),0,
  IF($I18+$I19&gt;=8,IF($I18&gt;=8,8,$I18),$I18)
  )))+IF(MOD(ROW(),2)=0,8,0),IF(OR($C18="",$D18=""),0,
 IF(OR($A18="Holiday",$A19="Holiday"),0,
 IF(AND(NOT(OR($A18="Annual Leave",$A19="Annual Leave")),$A18="Off day"),0,
  IF($I18+$I19&gt;=8,IF($I18&gt;=8,8,$I18),$I18)
  ))))</f>
        <v/>
      </c>
      <c r="W18" s="337">
        <f>MAX(0,V18-U18)</f>
        <v/>
      </c>
      <c r="X18" s="337">
        <f>IF(C18="","",C18-WEEKDAY(C18,1)+1)</f>
        <v/>
      </c>
      <c r="Y18" s="337">
        <f>SUMPRODUCT(($X$14:$X17=X18)*(($V$14:$V17)+($O$14:$O17)))+IF(X18=X14,$L$11,0)</f>
        <v/>
      </c>
      <c r="Z18" s="337" t="n"/>
      <c r="AA18" s="337" t="n"/>
      <c r="AB18" s="337" t="n"/>
      <c r="AC18" s="337" t="n"/>
      <c r="AD18" s="337" t="n"/>
      <c r="AE18" s="337" t="n"/>
      <c r="AF18" s="337" t="n"/>
    </row>
    <row r="19" ht="24" customHeight="1" s="328" thickBot="1">
      <c r="A19" s="200" t="inlineStr">
        <is>
          <t>On Day</t>
        </is>
      </c>
      <c r="B19" s="201" t="n"/>
      <c r="C19" s="112">
        <f>C18</f>
        <v/>
      </c>
      <c r="D19" s="47" t="n"/>
      <c r="E19" s="206">
        <f>IF(D19="", "",
 IF(D19=TIME(0,0,0), 0,
 IF(AND(D19&gt;=TIME(0,0,1), D19&lt;=TIME(2,0,0)), TIME(7,0,0),
 IF(AND(D19&gt;=TIME(5,0,0), D19&lt;=TIME(8,0,0)), TIME(12,0,0),
 IF(AND(D19&gt;TIME(8,0,0), D19&lt;=TIME(13,59,0)), TIME(15,0,0),
 IF(AND(D19&gt;=TIME(14,0,0), D19&lt;=TIME(17,59,0)), TIME(21,0,0),
 IF(AND(D19&gt;=TIME(18,0,0), D19&lt;=TIME(21,59,0)), TIME(0,0,0),
 IF(AND(D19&gt;=TIME(22,0,0), D19&lt;=TIME(23,59,59)), TIME(7,0,0), ""))))))))</f>
        <v/>
      </c>
      <c r="F19" s="207" t="n"/>
      <c r="G19" s="206">
        <f>E19</f>
        <v/>
      </c>
      <c r="H19" s="47" t="n"/>
      <c r="I19" s="48">
        <f>ROUND(IF(OR(D19="",E19="",E19=0),0,IF(H19="",MOD(E19-D19,1)*24,MOD(H19-D19,1)*24)),2)</f>
        <v/>
      </c>
      <c r="J19" s="204" t="n"/>
      <c r="K19" s="205" t="n"/>
      <c r="L19" s="188" t="n"/>
      <c r="M19" s="146">
        <f>MAX(0,V19-W19)</f>
        <v/>
      </c>
      <c r="N19" s="49">
        <f>(IF(OR($C19="",$D19=""),0,
 IF(OR($A18="Holiday",$A19="Holiday"),
    IF(ISNUMBER(MATCH(TRIM($B19),{"Phagwah","Good Friday","Easter Monday","Labour Day","Christmas","Eid ul Azha","Romans-2","Globe-12","Neptune P1"},0)),0,$I19),
 IF(AND(NOT(OR($A18="Annual Leave",$A19="Annual Leave")),$A19="Off day"),$I19,
  MAX(0,$I19-$V19)
  ))))+W19</f>
        <v/>
      </c>
      <c r="O19" s="49">
        <f>IF(AND(OR($A18="Holiday",$A19="Holiday"),
        ISNUMBER(MATCH(TRIM($B19),{"Phagwah","Good Friday","Easter Monday","Labour Day","Christmas","Eid ul Azha","Romans-2","Globe-12","Neptune P1"},0))),
   $I19,0)</f>
        <v/>
      </c>
      <c r="P19" s="49">
        <f>IF(OR($O$7="Canteen",$O$7="Head Office"),0,IF($I19&lt;=0,0,IF(AND($I18&lt;=0,OR(TRIM($J19)="Hebrews",TRIM($J19)="Romans",TRIM($J19)="Romans-2",TRIM($J19)="Globe",TRIM($J19)="Globe-12",TRIM($J19)="Neptune P1")),1,0)))</f>
        <v/>
      </c>
      <c r="Q19" s="50" t="n"/>
      <c r="R19" s="49">
        <f>IF(OR($O$7="Canteen",$O$7="Head Office"),0,IF(OR($I18&gt;0,$I19&gt;0),
   IF( OR(
        AND($D18&gt;=TIME(5,0,0),$D18&lt;=TIME(7,0,0)),
        AND($D18&gt;=TIME(14,0,0),$D18&lt;=TIME(15,0,0)),
        AND($D18&gt;=TIME(18,0,0),$D18&lt;=TIME(19,0,0)),
        AND($D19&gt;=TIME(5,0,0),$D19&lt;=TIME(7,0,0)),
        AND($D19&gt;=TIME(14,0,0),$D19&lt;=TIME(15,0,0)),
        AND($D19&gt;=TIME(18,0,0),$D19&lt;=TIME(19,0,0))
      ),
      IF(AND($I18=0,$I19&gt;0),1,0),
      0
   ),
0))</f>
        <v/>
      </c>
      <c r="S19" s="49">
        <f>IF(OR($A18="Annual Leave",$A19="Annual Leave"),IF(AND($A18&lt;&gt;"Annual Leave",$A19="Annual Leave"),8,0),0)</f>
        <v/>
      </c>
      <c r="T19" s="51" t="n"/>
      <c r="U19" s="178">
        <f>MAX(0,40-Y19)</f>
        <v/>
      </c>
      <c r="V19" s="337">
        <f>IF(OR($A19="Holiday",$A18="Holiday"),IF(OR($C19="",$D19=""),0,
 IF(OR($A18="Holiday",$A19="Holiday"),0,
 IF(AND(NOT(OR($A18="Annual Leave",$A19="Annual Leave")),$A19="Off day"),0,
  IF($I18+$I19&gt;=8,IF($I18&gt;=8,0,8-$I18),$I19)
  )))+IF(MOD(ROW(),2)=0,8,0),IF(OR($C19="",$D19=""),0,
 IF(OR($A18="Holiday",$A19="Holiday"),0,
 IF(AND(NOT(OR($A18="Annual Leave",$A19="Annual Leave")),$A19="Off day"),0,
  IF($I18+$I19&gt;=8,IF($I18&gt;=8,0,8-$I18),$I19)
  ))))</f>
        <v/>
      </c>
      <c r="W19" s="337">
        <f>MAX(0,V19-U19)</f>
        <v/>
      </c>
      <c r="X19" s="337">
        <f>IF(C19="","",C19-WEEKDAY(C19,1)+1)</f>
        <v/>
      </c>
      <c r="Y19" s="337">
        <f>SUMPRODUCT(($X$14:$X18=X19)*(($V$14:$V18)+($O$14:$O18)))+IF(X19=X14,$L$11,0)</f>
        <v/>
      </c>
      <c r="Z19" s="337" t="n"/>
      <c r="AA19" s="337" t="n"/>
      <c r="AB19" s="337" t="n"/>
      <c r="AC19" s="337" t="n"/>
      <c r="AD19" s="337" t="n"/>
      <c r="AE19" s="337" t="n"/>
      <c r="AF19" s="337" t="n"/>
    </row>
    <row r="20" ht="24" customHeight="1" s="328" thickBot="1">
      <c r="A20" s="208" t="inlineStr">
        <is>
          <t>On Day</t>
        </is>
      </c>
      <c r="B20" s="209" t="n"/>
      <c r="C20" s="113">
        <f>C18+1</f>
        <v/>
      </c>
      <c r="D20" s="52" t="n"/>
      <c r="E20" s="210">
        <f>IF(D20="", "",
 IF(D20=TIME(0,0,0), 0,
 IF(AND(D20&gt;=TIME(0,0,1), D20&lt;=TIME(2,0,0)), TIME(7,0,0),
 IF(AND(D20&gt;=TIME(5,0,0), D20&lt;=TIME(8,0,0)), TIME(12,0,0),
 IF(AND(D20&gt;TIME(8,0,0), D20&lt;=TIME(13,59,0)), TIME(15,0,0),
 IF(AND(D20&gt;=TIME(14,0,0), D20&lt;=TIME(17,59,0)), TIME(21,0,0),
 IF(AND(D20&gt;=TIME(18,0,0), D20&lt;=TIME(21,59,0)), TIME(0,0,0),
 IF(AND(D20&gt;=TIME(22,0,0), D20&lt;=TIME(23,59,59)), TIME(7,0,0), ""))))))))</f>
        <v/>
      </c>
      <c r="F20" s="211" t="n"/>
      <c r="G20" s="210">
        <f>E20</f>
        <v/>
      </c>
      <c r="H20" s="52" t="n"/>
      <c r="I20" s="114">
        <f>ROUND(IF(OR(D20="",E20="",E20=0),0,IF(H20="",MOD(E20-D20,1)*24,MOD(H20-D20,1)*24)),2)</f>
        <v/>
      </c>
      <c r="J20" s="212" t="n"/>
      <c r="K20" s="213" t="n"/>
      <c r="L20" s="188" t="n"/>
      <c r="M20" s="147">
        <f>MAX(0,V20-W20)</f>
        <v/>
      </c>
      <c r="N20" s="53">
        <f>(IF(OR($C20="",$D20=""),0,
 IF(OR($A20="Holiday",$A21="Holiday"),
    IF(ISNUMBER(MATCH(TRIM($B20),{"Phagwah","Good Friday","Easter Monday","Labour Day","Christmas","Eid ul Azha","Romans-2","Globe-12","Neptune P1"},0)),0,$I20),
 IF(AND(NOT(OR($A20="Annual Leave",$A21="Annual Leave")),$A20="Off day"),$I20,
  MAX(0,$I20-$V20)
  ))))+W20</f>
        <v/>
      </c>
      <c r="O20" s="53">
        <f>IF(AND(OR($A20="Holiday",$A21="Holiday"),
        ISNUMBER(MATCH(TRIM($B20),{"Phagwah","Good Friday","Easter Monday","Labour Day","Christmas","Eid ul Azha","Romans-2","Globe-12","Neptune P1"},0))),
   $I20,0)</f>
        <v/>
      </c>
      <c r="P20" s="53">
        <f>IF(OR($O$7="Canteen",$O$7="Head Office"),0,IF($I20&lt;=0,0,IF(OR(OR(TRIM($J20)="Hebrews",TRIM($J20)="Romans",TRIM($J20)="Romans-2",TRIM($J20)="Globe",TRIM($J20)="Globe-12",TRIM($J20)="Neptune P1"),AND($I21&gt;0,OR(TRIM($J21)="Hebrews",TRIM($J21)="Romans",TRIM($J21)="Romans-2",TRIM($J21)="Globe",TRIM($J21)="Globe-12",TRIM($J21)="Neptune P1"))),1,0)))</f>
        <v/>
      </c>
      <c r="Q20" s="54" t="n"/>
      <c r="R20" s="53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IF($I20&gt;0,1,0),
      0
   ),
0))</f>
        <v/>
      </c>
      <c r="S20" s="53">
        <f>IF(OR($A20="Annual Leave",$A21="Annual Leave"),IF($A20="Annual Leave",8,0),0)</f>
        <v/>
      </c>
      <c r="T20" s="115" t="n"/>
      <c r="U20" s="178">
        <f>MAX(0,40-Y20)</f>
        <v/>
      </c>
      <c r="V20" s="337">
        <f>IF(OR($A20="Holiday",$A21="Holiday"),IF(OR($C20="",$D20=""),0,
 IF(OR($A20="Holiday",$A21="Holiday"),0,
 IF(AND(NOT(OR($A20="Annual Leave",$A21="Annual Leave")),$A20="Off day"),0,
  IF($I20+$I21&gt;=8,IF($I20&gt;=8,8,$I20),$I20)
  )))+IF(MOD(ROW(),2)=0,8,0),IF(OR($C20="",$D20=""),0,
 IF(OR($A20="Holiday",$A21="Holiday"),0,
 IF(AND(NOT(OR($A20="Annual Leave",$A21="Annual Leave")),$A20="Off day"),0,
  IF($I20+$I21&gt;=8,IF($I20&gt;=8,8,$I20),$I20)
  ))))</f>
        <v/>
      </c>
      <c r="W20" s="337">
        <f>MAX(0,V20-U20)</f>
        <v/>
      </c>
      <c r="X20" s="337">
        <f>IF(C20="","",C20-WEEKDAY(C20,1)+1)</f>
        <v/>
      </c>
      <c r="Y20" s="337">
        <f>SUMPRODUCT(($X$14:$X19=X20)*(($V$14:$V19)+($O$14:$O19)))+IF(X20=X14,$L$11,0)</f>
        <v/>
      </c>
      <c r="Z20" s="337" t="n"/>
      <c r="AA20" s="337" t="n"/>
      <c r="AB20" s="337" t="n"/>
      <c r="AC20" s="337" t="n"/>
      <c r="AD20" s="337" t="n"/>
      <c r="AE20" s="337" t="n"/>
      <c r="AF20" s="337" t="n"/>
    </row>
    <row r="21" ht="24" customHeight="1" s="328" thickBot="1">
      <c r="A21" s="208" t="inlineStr">
        <is>
          <t>On Day</t>
        </is>
      </c>
      <c r="B21" s="209" t="n"/>
      <c r="C21" s="113">
        <f>C20</f>
        <v/>
      </c>
      <c r="D21" s="55" t="n"/>
      <c r="E21" s="214">
        <f>IF(D21="", "",
 IF(D21=TIME(0,0,0), 0,
 IF(AND(D21&gt;=TIME(0,0,1), D21&lt;=TIME(2,0,0)), TIME(7,0,0),
 IF(AND(D21&gt;=TIME(5,0,0), D21&lt;=TIME(8,0,0)), TIME(12,0,0),
 IF(AND(D21&gt;TIME(8,0,0), D21&lt;=TIME(13,59,0)), TIME(15,0,0),
 IF(AND(D21&gt;=TIME(14,0,0), D21&lt;=TIME(17,59,0)), TIME(21,0,0),
 IF(AND(D21&gt;=TIME(18,0,0), D21&lt;=TIME(21,59,0)), TIME(0,0,0),
 IF(AND(D21&gt;=TIME(22,0,0), D21&lt;=TIME(23,59,59)), TIME(7,0,0), ""))))))))</f>
        <v/>
      </c>
      <c r="F21" s="211" t="n"/>
      <c r="G21" s="214">
        <f>E21</f>
        <v/>
      </c>
      <c r="H21" s="55" t="n"/>
      <c r="I21" s="114">
        <f>ROUND(IF(OR(D21="",E21="",E21=0),0,IF(H21="",MOD(E21-D21,1)*24,MOD(H21-D21,1)*24)),2)</f>
        <v/>
      </c>
      <c r="J21" s="215" t="n"/>
      <c r="K21" s="213" t="n"/>
      <c r="L21" s="188" t="n"/>
      <c r="M21" s="147">
        <f>MAX(0,V21-W21)</f>
        <v/>
      </c>
      <c r="N21" s="56">
        <f>(IF(OR($C21="",$D21=""),0,
 IF(OR($A20="Holiday",$A21="Holiday"),
    IF(ISNUMBER(MATCH(TRIM($B21),{"Phagwah","Good Friday","Easter Monday","Labour Day","Christmas","Eid ul Azha","Romans-2","Globe-12","Neptune P1"},0)),0,$I21),
 IF(AND(NOT(OR($A20="Annual Leave",$A21="Annual Leave")),$A21="Off day"),$I21,
  MAX(0,$I21-$V21)
  ))))+W21</f>
        <v/>
      </c>
      <c r="O21" s="56">
        <f>IF(AND(OR($A20="Holiday",$A21="Holiday"),
        ISNUMBER(MATCH(TRIM($B21),{"Phagwah","Good Friday","Easter Monday","Labour Day","Christmas","Eid ul Azha","Romans-2","Globe-12","Neptune P1"},0))),
   $I21,0)</f>
        <v/>
      </c>
      <c r="P21" s="56">
        <f>IF(OR($O$7="Canteen",$O$7="Head Office"),0,IF($I21&lt;=0,0,IF(AND($I20&lt;=0,OR(TRIM($J21)="Hebrews",TRIM($J21)="Romans",TRIM($J21)="Romans-2",TRIM($J21)="Globe",TRIM($J21)="Globe-12",TRIM($J21)="Neptune P1")),1,0)))</f>
        <v/>
      </c>
      <c r="Q21" s="57" t="n"/>
      <c r="R21" s="56">
        <f>IF(OR($O$7="Canteen",$O$7="Head Office"),0,IF(OR($I20&gt;0,$I21&gt;0),
   IF( OR(
        AND($D20&gt;=TIME(5,0,0),$D20&lt;=TIME(7,0,0)),
        AND($D20&gt;=TIME(14,0,0),$D20&lt;=TIME(15,0,0)),
        AND($D20&gt;=TIME(18,0,0),$D20&lt;=TIME(19,0,0)),
        AND($D21&gt;=TIME(5,0,0),$D21&lt;=TIME(7,0,0)),
        AND($D21&gt;=TIME(14,0,0),$D21&lt;=TIME(15,0,0)),
        AND($D21&gt;=TIME(18,0,0),$D21&lt;=TIME(19,0,0))
      ),
      IF(AND($I20=0,$I21&gt;0),1,0),
      0
   ),
0))</f>
        <v/>
      </c>
      <c r="S21" s="56">
        <f>IF(OR($A20="Annual Leave",$A21="Annual Leave"),IF(AND($A20&lt;&gt;"Annual Leave",$A21="Annual Leave"),8,0),0)</f>
        <v/>
      </c>
      <c r="T21" s="116" t="n"/>
      <c r="U21" s="178">
        <f>MAX(0,40-Y21)</f>
        <v/>
      </c>
      <c r="V21" s="337">
        <f>IF(OR($A21="Holiday",$A20="Holiday"),IF(OR($C21="",$D21=""),0,
 IF(OR($A20="Holiday",$A21="Holiday"),0,
 IF(AND(NOT(OR($A20="Annual Leave",$A21="Annual Leave")),$A21="Off day"),0,
  IF($I20+$I21&gt;=8,IF($I20&gt;=8,0,8-$I20),$I21)
  )))+IF(MOD(ROW(),2)=0,8,0),IF(OR($C21="",$D21=""),0,
 IF(OR($A20="Holiday",$A21="Holiday"),0,
 IF(AND(NOT(OR($A20="Annual Leave",$A21="Annual Leave")),$A21="Off day"),0,
  IF($I20+$I21&gt;=8,IF($I20&gt;=8,0,8-$I20),$I21)
  ))))</f>
        <v/>
      </c>
      <c r="W21" s="337">
        <f>MAX(0,V21-U21)</f>
        <v/>
      </c>
      <c r="X21" s="337">
        <f>IF(C21="","",C21-WEEKDAY(C21,1)+1)</f>
        <v/>
      </c>
      <c r="Y21" s="337">
        <f>SUMPRODUCT(($X$14:$X20=X21)*(($V$14:$V20)+($O$14:$O20)))+IF(X21=X14,$L$11,0)</f>
        <v/>
      </c>
      <c r="Z21" s="337" t="n"/>
      <c r="AA21" s="337" t="n"/>
      <c r="AB21" s="337" t="n"/>
      <c r="AC21" s="337" t="n"/>
      <c r="AD21" s="337" t="n"/>
      <c r="AE21" s="337" t="n"/>
      <c r="AF21" s="337" t="n"/>
    </row>
    <row r="22" ht="24" customHeight="1" s="328" thickBot="1">
      <c r="A22" s="216" t="inlineStr">
        <is>
          <t>On Day</t>
        </is>
      </c>
      <c r="B22" s="217" t="n"/>
      <c r="C22" s="117">
        <f>C20+1</f>
        <v/>
      </c>
      <c r="D22" s="58" t="n"/>
      <c r="E22" s="218">
        <f>IF(D22="", "",
 IF(D22=TIME(0,0,0), 0,
 IF(AND(D22&gt;=TIME(0,0,1), D22&lt;=TIME(2,0,0)), TIME(7,0,0),
 IF(AND(D22&gt;=TIME(5,0,0), D22&lt;=TIME(8,0,0)), TIME(12,0,0),
 IF(AND(D22&gt;TIME(8,0,0), D22&lt;=TIME(13,59,0)), TIME(15,0,0),
 IF(AND(D22&gt;=TIME(14,0,0), D22&lt;=TIME(17,59,0)), TIME(21,0,0),
 IF(AND(D22&gt;=TIME(18,0,0), D22&lt;=TIME(21,59,0)), TIME(0,0,0),
 IF(AND(D22&gt;=TIME(22,0,0), D22&lt;=TIME(23,59,59)), TIME(7,0,0), ""))))))))</f>
        <v/>
      </c>
      <c r="F22" s="219" t="n"/>
      <c r="G22" s="218">
        <f>E22</f>
        <v/>
      </c>
      <c r="H22" s="58" t="n"/>
      <c r="I22" s="59">
        <f>ROUND(IF(OR(D22="",E22="",E22=0),0,IF(H22="",MOD(E22-D22,1)*24,MOD(H22-D22,1)*24)),2)</f>
        <v/>
      </c>
      <c r="J22" s="220" t="n"/>
      <c r="K22" s="221" t="n"/>
      <c r="L22" s="188" t="n"/>
      <c r="M22" s="148">
        <f>MAX(0,V22-W22)</f>
        <v/>
      </c>
      <c r="N22" s="60">
        <f>(IF(OR($C22="",$D22=""),0,
 IF(OR($A22="Holiday",$A23="Holiday"),
    IF(ISNUMBER(MATCH(TRIM($B22),{"Phagwah","Good Friday","Easter Monday","Labour Day","Christmas","Eid ul Azha","Romans-2","Globe-12","Neptune P1"},0)),0,$I22),
 IF(AND(NOT(OR($A22="Annual Leave",$A23="Annual Leave")),$A22="Off day"),$I22,
  MAX(0,$I22-$V22)
  ))))+W22</f>
        <v/>
      </c>
      <c r="O22" s="60">
        <f>IF(AND(OR($A22="Holiday",$A23="Holiday"),
        ISNUMBER(MATCH(TRIM($B22),{"Phagwah","Good Friday","Easter Monday","Labour Day","Christmas","Eid ul Azha","Romans-2","Globe-12","Neptune P1"},0))),
   $I22,0)</f>
        <v/>
      </c>
      <c r="P22" s="60">
        <f>IF(OR($O$7="Canteen",$O$7="Head Office"),0,IF($I22&lt;=0,0,IF(OR(OR(TRIM($J22)="Hebrews",TRIM($J22)="Romans",TRIM($J22)="Romans-2",TRIM($J22)="Globe",TRIM($J22)="Globe-12",TRIM($J22)="Neptune P1"),AND($I23&gt;0,OR(TRIM($J23)="Hebrews",TRIM($J23)="Romans",TRIM($J23)="Romans-2",TRIM($J23)="Globe",TRIM($J23)="Globe-12",TRIM($J23)="Neptune P1"))),1,0)))</f>
        <v/>
      </c>
      <c r="Q22" s="61" t="n"/>
      <c r="R22" s="60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IF($I22&gt;0,1,0),
      0
   ),
0))</f>
        <v/>
      </c>
      <c r="S22" s="60">
        <f>IF(OR($A22="Annual Leave",$A23="Annual Leave"),IF($A22="Annual Leave",8,0),0)</f>
        <v/>
      </c>
      <c r="T22" s="62" t="n"/>
      <c r="U22" s="178">
        <f>MAX(0,40-Y22)</f>
        <v/>
      </c>
      <c r="V22" s="337">
        <f>IF(OR($A22="Holiday",$A23="Holiday"),IF(OR($C22="",$D22=""),0,
 IF(OR($A22="Holiday",$A23="Holiday"),0,
 IF(AND(NOT(OR($A22="Annual Leave",$A23="Annual Leave")),$A22="Off day"),0,
  IF($I22+$I23&gt;=8,IF($I22&gt;=8,8,$I22),$I22)
  )))+IF(MOD(ROW(),2)=0,8,0),IF(OR($C22="",$D22=""),0,
 IF(OR($A22="Holiday",$A23="Holiday"),0,
 IF(AND(NOT(OR($A22="Annual Leave",$A23="Annual Leave")),$A22="Off day"),0,
  IF($I22+$I23&gt;=8,IF($I22&gt;=8,8,$I22),$I22)
  ))))</f>
        <v/>
      </c>
      <c r="W22" s="337">
        <f>MAX(0,V22-U22)</f>
        <v/>
      </c>
      <c r="X22" s="337">
        <f>IF(C22="","",C22-WEEKDAY(C22,1)+1)</f>
        <v/>
      </c>
      <c r="Y22" s="337">
        <f>SUMPRODUCT(($X$14:$X21=X22)*(($V$14:$V21)+($O$14:$O21)))+IF(X22=X14,$L$11,0)</f>
        <v/>
      </c>
      <c r="Z22" s="337" t="n"/>
      <c r="AA22" s="337" t="n"/>
      <c r="AB22" s="337" t="n"/>
      <c r="AC22" s="337" t="n"/>
      <c r="AD22" s="337" t="n"/>
      <c r="AE22" s="337" t="n"/>
      <c r="AF22" s="337" t="n"/>
    </row>
    <row r="23" ht="24" customHeight="1" s="328" thickBot="1">
      <c r="A23" s="216" t="inlineStr">
        <is>
          <t>On Day</t>
        </is>
      </c>
      <c r="B23" s="217" t="n"/>
      <c r="C23" s="118">
        <f>C22</f>
        <v/>
      </c>
      <c r="D23" s="63" t="n"/>
      <c r="E23" s="222">
        <f>IF(D23="", "",
 IF(D23=TIME(0,0,0), 0,
 IF(AND(D23&gt;=TIME(0,0,1), D23&lt;=TIME(2,0,0)), TIME(7,0,0),
 IF(AND(D23&gt;=TIME(5,0,0), D23&lt;=TIME(8,0,0)), TIME(12,0,0),
 IF(AND(D23&gt;TIME(8,0,0), D23&lt;=TIME(13,59,0)), TIME(15,0,0),
 IF(AND(D23&gt;=TIME(14,0,0), D23&lt;=TIME(17,59,0)), TIME(21,0,0),
 IF(AND(D23&gt;=TIME(18,0,0), D23&lt;=TIME(21,59,0)), TIME(0,0,0),
 IF(AND(D23&gt;=TIME(22,0,0), D23&lt;=TIME(23,59,59)), TIME(7,0,0), ""))))))))</f>
        <v/>
      </c>
      <c r="F23" s="223" t="n"/>
      <c r="G23" s="222">
        <f>E23</f>
        <v/>
      </c>
      <c r="H23" s="63" t="n"/>
      <c r="I23" s="64">
        <f>ROUND(IF(OR(D23="",E23="",E23=0),0,IF(H23="",MOD(E23-D23,1)*24,MOD(H23-D23,1)*24)),2)</f>
        <v/>
      </c>
      <c r="J23" s="220" t="n"/>
      <c r="K23" s="221" t="n"/>
      <c r="L23" s="188" t="n"/>
      <c r="M23" s="148">
        <f>MAX(0,V23-W23)</f>
        <v/>
      </c>
      <c r="N23" s="65">
        <f>(IF(OR($C23="",$D23=""),0,
 IF(OR($A22="Holiday",$A23="Holiday"),
    IF(ISNUMBER(MATCH(TRIM($B23),{"Phagwah","Good Friday","Easter Monday","Labour Day","Christmas","Eid ul Azha","Romans-2","Globe-12","Neptune P1"},0)),0,$I23),
 IF(AND(NOT(OR($A22="Annual Leave",$A23="Annual Leave")),$A23="Off day"),$I23,
  MAX(0,$I23-$V23)
  ))))+W23</f>
        <v/>
      </c>
      <c r="O23" s="65">
        <f>IF(AND(OR($A22="Holiday",$A23="Holiday"),
        ISNUMBER(MATCH(TRIM($B23),{"Phagwah","Good Friday","Easter Monday","Labour Day","Christmas","Eid ul Azha","Romans-2","Globe-12","Neptune P1"},0))),
   $I23,0)</f>
        <v/>
      </c>
      <c r="P23" s="65">
        <f>IF(OR($O$7="Canteen",$O$7="Head Office"),0,IF($I23&lt;=0,0,IF(AND($I22&lt;=0,OR(TRIM($J23)="Hebrews",TRIM($J23)="Romans",TRIM($J23)="Romans-2",TRIM($J23)="Globe",TRIM($J23)="Globe-12",TRIM($J23)="Neptune P1")),1,0)))</f>
        <v/>
      </c>
      <c r="Q23" s="66" t="n"/>
      <c r="R23" s="65">
        <f>IF(OR($O$7="Canteen",$O$7="Head Office"),0,IF(OR($I22&gt;0,$I23&gt;0),
   IF( OR(
        AND($D22&gt;=TIME(5,0,0),$D22&lt;=TIME(7,0,0)),
        AND($D22&gt;=TIME(14,0,0),$D22&lt;=TIME(15,0,0)),
        AND($D22&gt;=TIME(18,0,0),$D22&lt;=TIME(19,0,0)),
        AND($D23&gt;=TIME(5,0,0),$D23&lt;=TIME(7,0,0)),
        AND($D23&gt;=TIME(14,0,0),$D23&lt;=TIME(15,0,0)),
        AND($D23&gt;=TIME(18,0,0),$D23&lt;=TIME(19,0,0))
      ),
      IF(AND($I22=0,$I23&gt;0),1,0),
      0
   ),
0))</f>
        <v/>
      </c>
      <c r="S23" s="65">
        <f>IF(OR($A22="Annual Leave",$A23="Annual Leave"),IF(AND($A22&lt;&gt;"Annual Leave",$A23="Annual Leave"),8,0),0)</f>
        <v/>
      </c>
      <c r="T23" s="67" t="n"/>
      <c r="U23" s="178">
        <f>MAX(0,40-Y23)</f>
        <v/>
      </c>
      <c r="V23" s="337">
        <f>IF(OR($A23="Holiday",$A22="Holiday"),IF(OR($C23="",$D23=""),0,
 IF(OR($A22="Holiday",$A23="Holiday"),0,
 IF(AND(NOT(OR($A22="Annual Leave",$A23="Annual Leave")),$A23="Off day"),0,
  IF($I22+$I23&gt;=8,IF($I22&gt;=8,0,8-$I22),$I23)
  )))+IF(MOD(ROW(),2)=0,8,0),IF(OR($C23="",$D23=""),0,
 IF(OR($A22="Holiday",$A23="Holiday"),0,
 IF(AND(NOT(OR($A22="Annual Leave",$A23="Annual Leave")),$A23="Off day"),0,
  IF($I22+$I23&gt;=8,IF($I22&gt;=8,0,8-$I22),$I23)
  ))))</f>
        <v/>
      </c>
      <c r="W23" s="337">
        <f>MAX(0,V23-U23)</f>
        <v/>
      </c>
      <c r="X23" s="337">
        <f>IF(C23="","",C23-WEEKDAY(C23,1)+1)</f>
        <v/>
      </c>
      <c r="Y23" s="337">
        <f>SUMPRODUCT(($X$14:$X22=X23)*(($V$14:$V22)+($O$14:$O22)))+IF(X23=X14,$L$11,0)</f>
        <v/>
      </c>
      <c r="Z23" s="337" t="n"/>
      <c r="AA23" s="337" t="n"/>
      <c r="AB23" s="337" t="n"/>
      <c r="AC23" s="337" t="n"/>
      <c r="AD23" s="337" t="n"/>
      <c r="AE23" s="337" t="n"/>
      <c r="AF23" s="337" t="n"/>
    </row>
    <row r="24" ht="24" customHeight="1" s="328" thickBot="1">
      <c r="A24" s="192" t="inlineStr">
        <is>
          <t>On Day</t>
        </is>
      </c>
      <c r="B24" s="193" t="n"/>
      <c r="C24" s="109">
        <f>C22+1</f>
        <v/>
      </c>
      <c r="D24" s="14" t="n"/>
      <c r="E24" s="194">
        <f>IF(D24="", "",
 IF(D24=TIME(0,0,0), 0,
 IF(AND(D24&gt;=TIME(0,0,1), D24&lt;=TIME(2,0,0)), TIME(7,0,0),
 IF(AND(D24&gt;=TIME(5,0,0), D24&lt;=TIME(8,0,0)), TIME(12,0,0),
 IF(AND(D24&gt;TIME(8,0,0), D24&lt;=TIME(13,59,0)), TIME(15,0,0),
 IF(AND(D24&gt;=TIME(14,0,0), D24&lt;=TIME(17,59,0)), TIME(21,0,0),
 IF(AND(D24&gt;=TIME(18,0,0), D24&lt;=TIME(21,59,0)), TIME(0,0,0),
 IF(AND(D24&gt;=TIME(22,0,0), D24&lt;=TIME(23,59,59)), TIME(7,0,0), ""))))))))</f>
        <v/>
      </c>
      <c r="F24" s="195" t="n"/>
      <c r="G24" s="194">
        <f>E24</f>
        <v/>
      </c>
      <c r="H24" s="14" t="n"/>
      <c r="I24" s="40">
        <f>ROUND(IF(OR(D24="",E24="",E24=0),0,IF(H24="",MOD(E24-D24,1)*24,MOD(H24-D24,1)*24)),2)</f>
        <v/>
      </c>
      <c r="J24" s="196" t="n"/>
      <c r="K24" s="197" t="n"/>
      <c r="L24" s="188" t="n"/>
      <c r="M24" s="145">
        <f>MAX(0,V24-W24)</f>
        <v/>
      </c>
      <c r="N24" s="15">
        <f>(IF(OR($C24="",$D24=""),0,
 IF(OR($A24="Holiday",$A25="Holiday"),
    IF(ISNUMBER(MATCH(TRIM($B24),{"Phagwah","Good Friday","Easter Monday","Labour Day","Christmas","Eid ul Azha","Romans-2","Globe-12","Neptune P1"},0)),0,$I24),
 IF(AND(NOT(OR($A24="Annual Leave",$A25="Annual Leave")),$A24="Off day"),$I24,
  MAX(0,$I24-$V24)
  ))))+W24</f>
        <v/>
      </c>
      <c r="O24" s="15">
        <f>IF(AND(OR($A24="Holiday",$A25="Holiday"),
        ISNUMBER(MATCH(TRIM($B24),{"Phagwah","Good Friday","Easter Monday","Labour Day","Christmas","Eid ul Azha","Romans-2","Globe-12","Neptune P1"},0))),
   $I24,0)</f>
        <v/>
      </c>
      <c r="P24" s="15">
        <f>IF(OR($O$7="Canteen",$O$7="Head Office"),0,IF($I24&lt;=0,0,IF(OR(OR(TRIM($J24)="Hebrews",TRIM($J24)="Romans",TRIM($J24)="Romans-2",TRIM($J24)="Globe",TRIM($J24)="Globe-12",TRIM($J24)="Neptune P1"),AND($I25&gt;0,OR(TRIM($J25)="Hebrews",TRIM($J25)="Romans",TRIM($J25)="Romans-2",TRIM($J25)="Globe",TRIM($J25)="Globe-12",TRIM($J25)="Neptune P1"))),1,0)))</f>
        <v/>
      </c>
      <c r="Q24" s="16" t="n"/>
      <c r="R24" s="15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IF($I24&gt;0,1,0),
      0
   ),
0))</f>
        <v/>
      </c>
      <c r="S24" s="15">
        <f>IF(OR($A24="Annual Leave",$A25="Annual Leave"),IF($A24="Annual Leave",8,0),0)</f>
        <v/>
      </c>
      <c r="T24" s="110" t="n"/>
      <c r="U24" s="178">
        <f>MAX(0,40-Y24)</f>
        <v/>
      </c>
      <c r="V24" s="337">
        <f>IF(OR($A24="Holiday",$A25="Holiday"),IF(OR($C24="",$D24=""),0,
 IF(OR($A24="Holiday",$A25="Holiday"),0,
 IF(AND(NOT(OR($A24="Annual Leave",$A25="Annual Leave")),$A24="Off day"),0,
  IF($I24+$I25&gt;=8,IF($I24&gt;=8,8,$I24),$I24)
  )))+IF(MOD(ROW(),2)=0,8,0),IF(OR($C24="",$D24=""),0,
 IF(OR($A24="Holiday",$A25="Holiday"),0,
 IF(AND(NOT(OR($A24="Annual Leave",$A25="Annual Leave")),$A24="Off day"),0,
  IF($I24+$I25&gt;=8,IF($I24&gt;=8,8,$I24),$I24)
  ))))</f>
        <v/>
      </c>
      <c r="W24" s="337">
        <f>MAX(0,V24-U24)</f>
        <v/>
      </c>
      <c r="X24" s="337">
        <f>IF(C24="","",C24-WEEKDAY(C24,1)+1)</f>
        <v/>
      </c>
      <c r="Y24" s="337">
        <f>SUMPRODUCT(($X$14:$X23=X24)*(($V$14:$V23)+($O$14:$O23)))+IF(X24=X14,$L$11,0)</f>
        <v/>
      </c>
      <c r="Z24" s="337" t="n"/>
      <c r="AA24" s="337" t="n"/>
      <c r="AB24" s="337" t="n"/>
      <c r="AC24" s="337" t="n"/>
      <c r="AD24" s="337" t="n"/>
      <c r="AE24" s="337" t="n"/>
      <c r="AF24" s="337" t="n"/>
    </row>
    <row r="25" ht="24" customHeight="1" s="328" thickBot="1">
      <c r="A25" s="192" t="inlineStr">
        <is>
          <t>On Day</t>
        </is>
      </c>
      <c r="B25" s="193" t="n"/>
      <c r="C25" s="109">
        <f>C24</f>
        <v/>
      </c>
      <c r="D25" s="17" t="n"/>
      <c r="E25" s="198">
        <f>IF(D25="", "",
 IF(D25=TIME(0,0,0), 0,
 IF(AND(D25&gt;=TIME(0,0,1), D25&lt;=TIME(2,0,0)), TIME(7,0,0),
 IF(AND(D25&gt;=TIME(5,0,0), D25&lt;=TIME(8,0,0)), TIME(12,0,0),
 IF(AND(D25&gt;TIME(8,0,0), D25&lt;=TIME(13,59,0)), TIME(15,0,0),
 IF(AND(D25&gt;=TIME(14,0,0), D25&lt;=TIME(17,59,0)), TIME(21,0,0),
 IF(AND(D25&gt;=TIME(18,0,0), D25&lt;=TIME(21,59,0)), TIME(0,0,0),
 IF(AND(D25&gt;=TIME(22,0,0), D25&lt;=TIME(23,59,59)), TIME(7,0,0), ""))))))))</f>
        <v/>
      </c>
      <c r="F25" s="195" t="n"/>
      <c r="G25" s="198">
        <f>E25</f>
        <v/>
      </c>
      <c r="H25" s="17" t="n"/>
      <c r="I25" s="40">
        <f>ROUND(IF(OR(D25="",E25="",E25=0),0,IF(H25="",MOD(E25-D25,1)*24,MOD(H25-D25,1)*24)),2)</f>
        <v/>
      </c>
      <c r="J25" s="199" t="n"/>
      <c r="K25" s="197" t="n"/>
      <c r="L25" s="188" t="n"/>
      <c r="M25" s="145">
        <f>MAX(0,V25-W25)</f>
        <v/>
      </c>
      <c r="N25" s="18">
        <f>(IF(OR($C25="",$D25=""),0,
 IF(OR($A24="Holiday",$A25="Holiday"),
    IF(ISNUMBER(MATCH(TRIM($B25),{"Phagwah","Good Friday","Easter Monday","Labour Day","Christmas","Eid ul Azha","Romans-2","Globe-12","Neptune P1"},0)),0,$I25),
 IF(AND(NOT(OR($A24="Annual Leave",$A25="Annual Leave")),$A25="Off day"),$I25,
  MAX(0,$I25-$V25)
  ))))+W25</f>
        <v/>
      </c>
      <c r="O25" s="18">
        <f>IF(AND(OR($A24="Holiday",$A25="Holiday"),
        ISNUMBER(MATCH(TRIM($B25),{"Phagwah","Good Friday","Easter Monday","Labour Day","Christmas","Eid ul Azha","Romans-2","Globe-12","Neptune P1"},0))),
   $I25,0)</f>
        <v/>
      </c>
      <c r="P25" s="18">
        <f>IF(OR($O$7="Canteen",$O$7="Head Office"),0,IF($I25&lt;=0,0,IF(AND($I24&lt;=0,OR(TRIM($J25)="Hebrews",TRIM($J25)="Romans",TRIM($J25)="Romans-2",TRIM($J25)="Globe",TRIM($J25)="Globe-12",TRIM($J25)="Neptune P1")),1,0)))</f>
        <v/>
      </c>
      <c r="Q25" s="19" t="n"/>
      <c r="R25" s="18">
        <f>IF(OR($O$7="Canteen",$O$7="Head Office"),0,IF(OR($I24&gt;0,$I25&gt;0),
   IF( OR(
        AND($D24&gt;=TIME(5,0,0),$D24&lt;=TIME(7,0,0)),
        AND($D24&gt;=TIME(14,0,0),$D24&lt;=TIME(15,0,0)),
        AND($D24&gt;=TIME(18,0,0),$D24&lt;=TIME(19,0,0)),
        AND($D25&gt;=TIME(5,0,0),$D25&lt;=TIME(7,0,0)),
        AND($D25&gt;=TIME(14,0,0),$D25&lt;=TIME(15,0,0)),
        AND($D25&gt;=TIME(18,0,0),$D25&lt;=TIME(19,0,0))
      ),
      IF(AND($I24=0,$I25&gt;0),1,0),
      0
   ),
0))</f>
        <v/>
      </c>
      <c r="S25" s="18">
        <f>IF(OR($A24="Annual Leave",$A25="Annual Leave"),IF(AND($A24&lt;&gt;"Annual Leave",$A25="Annual Leave"),8,0),0)</f>
        <v/>
      </c>
      <c r="T25" s="41" t="n"/>
      <c r="U25" s="178">
        <f>MAX(0,40-Y25)</f>
        <v/>
      </c>
      <c r="V25" s="337">
        <f>IF(OR($A25="Holiday",$A24="Holiday"),IF(OR($C25="",$D25=""),0,
 IF(OR($A24="Holiday",$A25="Holiday"),0,
 IF(AND(NOT(OR($A24="Annual Leave",$A25="Annual Leave")),$A25="Off day"),0,
  IF($I24+$I25&gt;=8,IF($I24&gt;=8,0,8-$I24),$I25)
  )))+IF(MOD(ROW(),2)=0,8,0),IF(OR($C25="",$D25=""),0,
 IF(OR($A24="Holiday",$A25="Holiday"),0,
 IF(AND(NOT(OR($A24="Annual Leave",$A25="Annual Leave")),$A25="Off day"),0,
  IF($I24+$I25&gt;=8,IF($I24&gt;=8,0,8-$I24),$I25)
  ))))</f>
        <v/>
      </c>
      <c r="W25" s="337">
        <f>MAX(0,V25-U25)</f>
        <v/>
      </c>
      <c r="X25" s="337">
        <f>IF(C25="","",C25-WEEKDAY(C25,1)+1)</f>
        <v/>
      </c>
      <c r="Y25" s="337">
        <f>SUMPRODUCT(($X$14:$X24=X25)*(($V$14:$V24)+($O$14:$O24)))+IF(X25=X14,$L$11,0)</f>
        <v/>
      </c>
      <c r="Z25" s="337" t="n"/>
      <c r="AA25" s="337" t="n"/>
      <c r="AB25" s="337" t="n"/>
      <c r="AC25" s="337" t="n"/>
      <c r="AD25" s="337" t="n"/>
      <c r="AE25" s="337" t="n"/>
      <c r="AF25" s="337" t="n"/>
    </row>
    <row r="26" ht="24" customHeight="1" s="328" thickBot="1">
      <c r="A26" s="200" t="inlineStr">
        <is>
          <t>On Day</t>
        </is>
      </c>
      <c r="B26" s="201" t="n"/>
      <c r="C26" s="111">
        <f>C24+1</f>
        <v/>
      </c>
      <c r="D26" s="42" t="n"/>
      <c r="E26" s="202">
        <f>IF(D26="", "",
 IF(D26=TIME(0,0,0), 0,
 IF(AND(D26&gt;=TIME(0,0,1), D26&lt;=TIME(2,0,0)), TIME(7,0,0),
 IF(AND(D26&gt;=TIME(5,0,0), D26&lt;=TIME(8,0,0)), TIME(12,0,0),
 IF(AND(D26&gt;TIME(8,0,0), D26&lt;=TIME(13,59,0)), TIME(15,0,0),
 IF(AND(D26&gt;=TIME(14,0,0), D26&lt;=TIME(17,59,0)), TIME(21,0,0),
 IF(AND(D26&gt;=TIME(18,0,0), D26&lt;=TIME(21,59,0)), TIME(0,0,0),
 IF(AND(D26&gt;=TIME(22,0,0), D26&lt;=TIME(23,59,59)), TIME(7,0,0), ""))))))))</f>
        <v/>
      </c>
      <c r="F26" s="203" t="n"/>
      <c r="G26" s="202">
        <f>E26</f>
        <v/>
      </c>
      <c r="H26" s="42" t="n"/>
      <c r="I26" s="43">
        <f>ROUND(IF(OR(D26="",E26="",E26=0),0,IF(H26="",MOD(E26-D26,1)*24,MOD(H26-D26,1)*24)),2)</f>
        <v/>
      </c>
      <c r="J26" s="204" t="n"/>
      <c r="K26" s="205" t="n"/>
      <c r="L26" s="188" t="n"/>
      <c r="M26" s="146">
        <f>MAX(0,V26-W26)</f>
        <v/>
      </c>
      <c r="N26" s="44">
        <f>(IF(OR($C26="",$D26=""),0,
 IF(OR($A26="Holiday",$A27="Holiday"),
    IF(ISNUMBER(MATCH(TRIM($B26),{"Phagwah","Good Friday","Easter Monday","Labour Day","Christmas","Eid ul Azha","Romans-2","Globe-12","Neptune P1"},0)),0,$I26),
 IF(AND(NOT(OR($A26="Annual Leave",$A27="Annual Leave")),$A26="Off day"),$I26,
  MAX(0,$I26-$V26)
  ))))+W26</f>
        <v/>
      </c>
      <c r="O26" s="44">
        <f>IF(AND(OR($A26="Holiday",$A27="Holiday"),
        ISNUMBER(MATCH(TRIM($B26),{"Phagwah","Good Friday","Easter Monday","Labour Day","Christmas","Eid ul Azha","Romans-2","Globe-12","Neptune P1"},0))),
   $I26,0)</f>
        <v/>
      </c>
      <c r="P26" s="44">
        <f>IF(OR($O$7="Canteen",$O$7="Head Office"),0,IF($I26&lt;=0,0,IF(OR(OR(TRIM($J26)="Hebrews",TRIM($J26)="Romans",TRIM($J26)="Romans-2",TRIM($J26)="Globe",TRIM($J26)="Globe-12",TRIM($J26)="Neptune P1"),AND($I27&gt;0,OR(TRIM($J27)="Hebrews",TRIM($J27)="Romans",TRIM($J27)="Romans-2",TRIM($J27)="Globe",TRIM($J27)="Globe-12",TRIM($J27)="Neptune P1"))),1,0)))</f>
        <v/>
      </c>
      <c r="Q26" s="45" t="n"/>
      <c r="R26" s="44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IF($I26&gt;0,1,0),
      0
   ),
0))</f>
        <v/>
      </c>
      <c r="S26" s="44">
        <f>IF(OR($A26="Annual Leave",$A27="Annual Leave"),IF($A26="Annual Leave",8,0),0)</f>
        <v/>
      </c>
      <c r="T26" s="46" t="n"/>
      <c r="U26" s="178">
        <f>MAX(0,40-Y26)</f>
        <v/>
      </c>
      <c r="V26" s="337">
        <f>IF(OR($A26="Holiday",$A27="Holiday"),IF(OR($C26="",$D26=""),0,
 IF(OR($A26="Holiday",$A27="Holiday"),0,
 IF(AND(NOT(OR($A26="Annual Leave",$A27="Annual Leave")),$A26="Off day"),0,
  IF($I26+$I27&gt;=8,IF($I26&gt;=8,8,$I26),$I26)
  )))+IF(MOD(ROW(),2)=0,8,0),IF(OR($C26="",$D26=""),0,
 IF(OR($A26="Holiday",$A27="Holiday"),0,
 IF(AND(NOT(OR($A26="Annual Leave",$A27="Annual Leave")),$A26="Off day"),0,
  IF($I26+$I27&gt;=8,IF($I26&gt;=8,8,$I26),$I26)
  ))))</f>
        <v/>
      </c>
      <c r="W26" s="337">
        <f>MAX(0,V26-U26)</f>
        <v/>
      </c>
      <c r="X26" s="337">
        <f>IF(C26="","",C26-WEEKDAY(C26,1)+1)</f>
        <v/>
      </c>
      <c r="Y26" s="337">
        <f>SUMPRODUCT(($X$14:$X25=X26)*(($V$14:$V25)+($O$14:$O25)))+IF(X26=X14,$L$11,0)</f>
        <v/>
      </c>
      <c r="Z26" s="337" t="n"/>
      <c r="AA26" s="337" t="n"/>
      <c r="AB26" s="337" t="n"/>
      <c r="AC26" s="337" t="n"/>
      <c r="AD26" s="337" t="n"/>
      <c r="AE26" s="337" t="n"/>
      <c r="AF26" s="337" t="n"/>
    </row>
    <row r="27" ht="24" customHeight="1" s="328" thickBot="1">
      <c r="A27" s="200" t="inlineStr">
        <is>
          <t>On Day</t>
        </is>
      </c>
      <c r="B27" s="201" t="n"/>
      <c r="C27" s="112">
        <f>C26</f>
        <v/>
      </c>
      <c r="D27" s="47" t="n"/>
      <c r="E27" s="206">
        <f>IF(D27="", "",
 IF(D27=TIME(0,0,0), 0,
 IF(AND(D27&gt;=TIME(0,0,1), D27&lt;=TIME(2,0,0)), TIME(7,0,0),
 IF(AND(D27&gt;=TIME(5,0,0), D27&lt;=TIME(8,0,0)), TIME(12,0,0),
 IF(AND(D27&gt;TIME(8,0,0), D27&lt;=TIME(13,59,0)), TIME(15,0,0),
 IF(AND(D27&gt;=TIME(14,0,0), D27&lt;=TIME(17,59,0)), TIME(21,0,0),
 IF(AND(D27&gt;=TIME(18,0,0), D27&lt;=TIME(21,59,0)), TIME(0,0,0),
 IF(AND(D27&gt;=TIME(22,0,0), D27&lt;=TIME(23,59,59)), TIME(7,0,0), ""))))))))</f>
        <v/>
      </c>
      <c r="F27" s="207" t="n"/>
      <c r="G27" s="206">
        <f>E27</f>
        <v/>
      </c>
      <c r="H27" s="47" t="n"/>
      <c r="I27" s="48">
        <f>ROUND(IF(OR(D27="",E27="",E27=0),0,IF(H27="",MOD(E27-D27,1)*24,MOD(H27-D27,1)*24)),2)</f>
        <v/>
      </c>
      <c r="J27" s="204" t="n"/>
      <c r="K27" s="205" t="n"/>
      <c r="L27" s="188" t="n"/>
      <c r="M27" s="146">
        <f>MAX(0,V27-W27)</f>
        <v/>
      </c>
      <c r="N27" s="49">
        <f>(IF(OR($C27="",$D27=""),0,
 IF(OR($A26="Holiday",$A27="Holiday"),
    IF(ISNUMBER(MATCH(TRIM($B27),{"Phagwah","Good Friday","Easter Monday","Labour Day","Christmas","Eid ul Azha","Romans-2","Globe-12","Neptune P1"},0)),0,$I27),
 IF(AND(NOT(OR($A26="Annual Leave",$A27="Annual Leave")),$A27="Off day"),$I27,
  MAX(0,$I27-$V27)
  ))))+W27</f>
        <v/>
      </c>
      <c r="O27" s="49">
        <f>IF(AND(OR($A26="Holiday",$A27="Holiday"),
        ISNUMBER(MATCH(TRIM($B27),{"Phagwah","Good Friday","Easter Monday","Labour Day","Christmas","Eid ul Azha","Romans-2","Globe-12","Neptune P1"},0))),
   $I27,0)</f>
        <v/>
      </c>
      <c r="P27" s="49">
        <f>IF(OR($O$7="Canteen",$O$7="Head Office"),0,IF($I27&lt;=0,0,IF(AND($I26&lt;=0,OR(TRIM($J27)="Hebrews",TRIM($J27)="Romans",TRIM($J27)="Romans-2",TRIM($J27)="Globe",TRIM($J27)="Globe-12",TRIM($J27)="Neptune P1")),1,0)))</f>
        <v/>
      </c>
      <c r="Q27" s="50" t="n"/>
      <c r="R27" s="49">
        <f>IF(OR($O$7="Canteen",$O$7="Head Office"),0,IF(OR($I26&gt;0,$I27&gt;0),
   IF( OR(
        AND($D26&gt;=TIME(5,0,0),$D26&lt;=TIME(7,0,0)),
        AND($D26&gt;=TIME(14,0,0),$D26&lt;=TIME(15,0,0)),
        AND($D26&gt;=TIME(18,0,0),$D26&lt;=TIME(19,0,0)),
        AND($D27&gt;=TIME(5,0,0),$D27&lt;=TIME(7,0,0)),
        AND($D27&gt;=TIME(14,0,0),$D27&lt;=TIME(15,0,0)),
        AND($D27&gt;=TIME(18,0,0),$D27&lt;=TIME(19,0,0))
      ),
      IF(AND($I26=0,$I27&gt;0),1,0),
      0
   ),
0))</f>
        <v/>
      </c>
      <c r="S27" s="49">
        <f>IF(OR($A26="Annual Leave",$A27="Annual Leave"),IF(AND($A26&lt;&gt;"Annual Leave",$A27="Annual Leave"),8,0),0)</f>
        <v/>
      </c>
      <c r="T27" s="51" t="n"/>
      <c r="U27" s="178">
        <f>MAX(0,40-Y27)</f>
        <v/>
      </c>
      <c r="V27" s="337">
        <f>IF(OR($A27="Holiday",$A26="Holiday"),IF(OR($C27="",$D27=""),0,
 IF(OR($A26="Holiday",$A27="Holiday"),0,
 IF(AND(NOT(OR($A26="Annual Leave",$A27="Annual Leave")),$A27="Off day"),0,
  IF($I26+$I27&gt;=8,IF($I26&gt;=8,0,8-$I26),$I27)
  )))+IF(MOD(ROW(),2)=0,8,0),IF(OR($C27="",$D27=""),0,
 IF(OR($A26="Holiday",$A27="Holiday"),0,
 IF(AND(NOT(OR($A26="Annual Leave",$A27="Annual Leave")),$A27="Off day"),0,
  IF($I26+$I27&gt;=8,IF($I26&gt;=8,0,8-$I26),$I27)
  ))))</f>
        <v/>
      </c>
      <c r="W27" s="337">
        <f>MAX(0,V27-U27)</f>
        <v/>
      </c>
      <c r="X27" s="337">
        <f>IF(C27="","",C27-WEEKDAY(C27,1)+1)</f>
        <v/>
      </c>
      <c r="Y27" s="337">
        <f>SUMPRODUCT(($X$14:$X26=X27)*(($V$14:$V26)+($O$14:$O26)))+IF(X27=X14,$L$11,0)</f>
        <v/>
      </c>
      <c r="Z27" s="337" t="n"/>
      <c r="AA27" s="337" t="n"/>
      <c r="AB27" s="337" t="n"/>
      <c r="AC27" s="337" t="n"/>
      <c r="AD27" s="337" t="n"/>
      <c r="AE27" s="337" t="n"/>
      <c r="AF27" s="337" t="n"/>
    </row>
    <row r="28" ht="24" customHeight="1" s="328" thickBot="1">
      <c r="A28" s="224" t="n"/>
      <c r="B28" s="224" t="n"/>
      <c r="C28" s="180" t="n"/>
      <c r="D28" s="12" t="n"/>
      <c r="E28" s="24">
        <f>IF(D28="", "",
 IF(D28=TIME(0,0,0), 0,
 IF(AND(D28&gt;=TIME(0,0,1), D28&lt;=TIME(2,0,0)), TIME(7,0,0),
 IF(AND(D28&gt;=TIME(5,0,0), D28&lt;=TIME(8,0,0)), TIME(12,0,0),
 IF(AND(D28&gt;TIME(8,0,0), D28&lt;=TIME(13,59,0)), TIME(15,0,0),
 IF(AND(D28&gt;=TIME(14,0,0), D28&lt;=TIME(17,59,0)), TIME(21,0,0),
 IF(AND(D28&gt;=TIME(18,0,0), D28&lt;=TIME(21,59,0)), TIME(0,0,0),
 IF(AND(D28&gt;=TIME(22,0,0), D28&lt;=TIME(23,59,59)), TIME(7,0,0), ""))))))))</f>
        <v/>
      </c>
      <c r="F28" s="12" t="n"/>
      <c r="G28" s="12" t="n"/>
      <c r="H28" s="348" t="n"/>
      <c r="I28" s="337" t="n"/>
      <c r="J28" s="348" t="n"/>
      <c r="K28" s="348" t="n"/>
      <c r="L28" s="348" t="n"/>
      <c r="M28" s="119">
        <f>MAX(0,V28-W28)</f>
        <v/>
      </c>
      <c r="N28" s="119">
        <f>(IF(OR($C28="",$D28=""),0,
 IF(OR($A28="Holiday",$A29="Holiday"),
    IF(ISNUMBER(MATCH(TRIM($B28),{"Phagwah","Good Friday","Easter Monday","Labour Day","Christmas","Eid ul Azha","Romans-2","Globe-12","Neptune P1"},0)),0,$I28),
 IF(AND(NOT(OR($A28="Annual Leave",$A29="Annual Leave")),$A28="Off day"),$I28,
  MAX(0,$I28-$V28)
  ))))+W28</f>
        <v/>
      </c>
      <c r="O28" s="119">
        <f>IF(AND(OR($A28="Holiday",$A29="Holiday"),
        ISNUMBER(MATCH(TRIM($B28),{"Phagwah","Good Friday","Easter Monday","Labour Day","Christmas","Eid ul Azha","Romans-2","Globe-12","Neptune P1"},0))),
   $I28,0)</f>
        <v/>
      </c>
      <c r="P28" s="119">
        <f>IF(OR($O$7="Canteen",$O$7="Head Office"),0,IF($I28&lt;=0,0,IF(OR(OR(TRIM($J28)="Hebrews",TRIM($J28)="Romans",TRIM($J28)="Romans-2",TRIM($J28)="Globe",TRIM($J28)="Globe-12",TRIM($J28)="Neptune P1"),AND($I29&gt;0,OR(TRIM($J29)="Hebrews",TRIM($J29)="Romans",TRIM($J29)="Romans-2",TRIM($J29)="Globe",TRIM($J29)="Globe-12",TRIM($J29)="Neptune P1"))),1,0)))</f>
        <v/>
      </c>
      <c r="Q28" s="226" t="n"/>
      <c r="R28" s="25" t="n"/>
      <c r="S28" s="119">
        <f>IF(OR($A28="Annual Leave",$A29="Annual Leave"),IF($A28="Annual Leave",8,0),0)</f>
        <v/>
      </c>
      <c r="T28" s="120">
        <f>SUM(T14:T27)</f>
        <v/>
      </c>
      <c r="U28" s="178">
        <f>MAX(0,40-Y28)</f>
        <v/>
      </c>
      <c r="V28" s="337">
        <f>IF(OR($A28="Holiday",$A29="Holiday"),IF(OR($C28="",$D28=""),0,
 IF(OR($A28="Holiday",$A29="Holiday"),0,
 IF(AND(NOT(OR($A28="Annual Leave",$A29="Annual Leave")),$A28="Off day"),0,
  IF($I28+$I29&gt;=8,IF($I28&gt;=8,8,$I28),$I28)
  )))+IF(MOD(ROW(),2)=0,8,0),IF(OR($C28="",$D28=""),0,
 IF(OR($A28="Holiday",$A29="Holiday"),0,
 IF(AND(NOT(OR($A28="Annual Leave",$A29="Annual Leave")),$A28="Off day"),0,
  IF($I28+$I29&gt;=8,IF($I28&gt;=8,8,$I28),$I28)
  ))))</f>
        <v/>
      </c>
      <c r="W28" s="337">
        <f>MAX(0,V28-U28)</f>
        <v/>
      </c>
      <c r="X28" s="337">
        <f>IF(C28="","",C28-WEEKDAY(C28,1)+1)</f>
        <v/>
      </c>
      <c r="Y28" s="337">
        <f>SUMPRODUCT(($X$14:$X27=X28)*(($V$14:$V27)+($O$14:$O27)))+IF(X28=X14,$L$11,0)</f>
        <v/>
      </c>
      <c r="Z28" s="337" t="n"/>
      <c r="AA28" s="337" t="n"/>
      <c r="AB28" s="337" t="n"/>
      <c r="AC28" s="337" t="n"/>
      <c r="AD28" s="337" t="n"/>
      <c r="AE28" s="337" t="n"/>
      <c r="AF28" s="337" t="n"/>
    </row>
    <row r="29" hidden="1" ht="15.75" customHeight="1" s="328" thickBot="1">
      <c r="A29" s="227" t="n"/>
      <c r="B29" s="224" t="n"/>
      <c r="C29" s="180" t="n"/>
      <c r="D29" s="12" t="n"/>
      <c r="E29" s="228">
        <f>IF(D29="", "",
 IF(D29=TIME(0,0,0), 0,
 IF(AND(D29&gt;=TIME(0,0,1), D29&lt;=TIME(2,0,0)), TIME(7,0,0),
 IF(AND(D29&gt;=TIME(5,0,0), D29&lt;=TIME(8,0,0)), TIME(12,0,0),
 IF(AND(D29&gt;TIME(8,0,0), D29&lt;=TIME(13,59,0)), TIME(15,0,0),
 IF(AND(D29&gt;=TIME(14,0,0), D29&lt;=TIME(17,59,0)), TIME(21,0,0),
 IF(AND(D29&gt;=TIME(18,0,0), D29&lt;=TIME(21,59,0)), TIME(0,0,0),
 IF(AND(D29&gt;=TIME(22,0,0), D29&lt;=TIME(23,59,59)), TIME(7,0,0), ""))))))))</f>
        <v/>
      </c>
      <c r="F29" s="12" t="n"/>
      <c r="G29" s="12" t="n"/>
      <c r="H29" s="12" t="n"/>
      <c r="I29" s="12" t="n"/>
      <c r="J29" s="12" t="n"/>
      <c r="K29" s="12" t="n"/>
      <c r="L29" s="12" t="n"/>
      <c r="M29" s="6">
        <f>MAX(0,V29-W29)</f>
        <v/>
      </c>
      <c r="N29" s="6">
        <f>(IF(OR($C29="",$D29=""),0,
 IF(OR($A28="Holiday",$A29="Holiday"),
    IF(ISNUMBER(MATCH(TRIM($B29),{"Phagwah","Good Friday","Easter Monday","Labour Day","Christmas","Eid ul Azha","Romans-2","Globe-12","Neptune P1"},0)),0,$I29),
 IF(AND(NOT(OR($A28="Annual Leave",$A29="Annual Leave")),$A29="Off day"),$I29,
  MAX(0,$I29-$V29)
  ))))+W29</f>
        <v/>
      </c>
      <c r="O29" s="6">
        <f>IF(AND(OR($A28="Holiday",$A29="Holiday"),
        ISNUMBER(MATCH(TRIM($B29),{"Phagwah","Good Friday","Easter Monday","Labour Day","Christmas","Eid ul Azha","Romans-2","Globe-12","Neptune P1"},0))),
   $I29,0)</f>
        <v/>
      </c>
      <c r="P29" s="6">
        <f>IF(OR($O$7="Canteen",$O$7="Head Office"),0,IF($I29&lt;=0,0,IF(AND($I28&lt;=0,OR(TRIM($J29)="Hebrews",TRIM($J29)="Romans",TRIM($J29)="Romans-2",TRIM($J29)="Globe",TRIM($J29)="Globe-12",TRIM($J29)="Neptune P1")),1,0)))</f>
        <v/>
      </c>
      <c r="Q29" s="12" t="n"/>
      <c r="R29" s="229">
        <f>IF(OR($O$7="Canteen",$O$7="Head Office"),0,IF(
  AND(
    SUMIFS(I:I, C:C, C29) &gt;= 8,
    COUNTIFS(C$14:C29, C29)=1,
    OR(
      TEXT(D29,"hh:mm:ss")="07:00:00",
      TEXT(D29,"hh:mm:ss")="15:00:00",
      TEXT(D29,"hh:mm:ss")="23:00:00",
      TEXT(D30,"hh:mm:ss")="07:00:00",
      TEXT(D30,"hh:mm:ss")="15:00:00",
      TEXT(D30,"hh:mm:ss")="23:00:00"
    )
  ),
  1,
  0
))</f>
        <v/>
      </c>
      <c r="S29" s="6">
        <f>IF(OR($A28="Annual Leave",$A29="Annual Leave"),IF(AND($A28&lt;&gt;"Annual Leave",$A29="Annual Leave"),8,0),0)</f>
        <v/>
      </c>
      <c r="T29" s="181" t="n"/>
      <c r="U29" s="337">
        <f>MAX(0,40-Y29)</f>
        <v/>
      </c>
      <c r="V29" s="337">
        <f>IF(OR($A29="Holiday",$A28="Holiday"),IF(OR($C29="",$D29=""),0,
 IF(OR($A28="Holiday",$A29="Holiday"),0,
 IF(AND(NOT(OR($A28="Annual Leave",$A29="Annual Leave")),$A29="Off day"),0,
  IF($I28+$I29&gt;=8,IF($I28&gt;=8,0,8-$I28),$I29)
  )))+IF(MOD(ROW(),2)=0,8,0),IF(OR($C29="",$D29=""),0,
 IF(OR($A28="Holiday",$A29="Holiday"),0,
 IF(AND(NOT(OR($A28="Annual Leave",$A29="Annual Leave")),$A29="Off day"),0,
  IF($I28+$I29&gt;=8,IF($I28&gt;=8,0,8-$I28),$I29)
  ))))</f>
        <v/>
      </c>
      <c r="W29" s="337">
        <f>MAX(0,V29-U29)</f>
        <v/>
      </c>
      <c r="X29" s="337">
        <f>IF(C29="","",C29-WEEKDAY(C29,1)+1)</f>
        <v/>
      </c>
      <c r="Y29" s="337">
        <f>SUMPRODUCT(($X$14:$X28=X29)*(($V$14:$V28)+($O$14:$O28)))+IF(X29=X14,$L$11,0)</f>
        <v/>
      </c>
      <c r="Z29" s="337" t="n"/>
      <c r="AA29" s="337" t="n"/>
      <c r="AB29" s="337" t="n"/>
      <c r="AC29" s="337" t="n"/>
      <c r="AD29" s="337" t="n"/>
      <c r="AE29" s="337" t="n"/>
      <c r="AF29" s="337" t="n"/>
    </row>
    <row r="30" ht="24" customHeight="1" s="328" thickBot="1">
      <c r="A30" s="182" t="inlineStr">
        <is>
          <t>On Day</t>
        </is>
      </c>
      <c r="B30" s="230" t="n"/>
      <c r="C30" s="107">
        <f>C27+1</f>
        <v/>
      </c>
      <c r="D30" s="68" t="n"/>
      <c r="E30" s="184">
        <f>IF(D30="", "",
 IF(D30=TIME(0,0,0), 0,
 IF(AND(D30&gt;=TIME(0,0,1), D30&lt;=TIME(2,0,0)), TIME(7,0,0),
 IF(AND(D30&gt;=TIME(5,0,0), D30&lt;=TIME(8,0,0)), TIME(12,0,0),
 IF(AND(D30&gt;TIME(8,0,0), D30&lt;=TIME(13,59,0)), TIME(15,0,0),
 IF(AND(D30&gt;=TIME(14,0,0), D30&lt;=TIME(17,59,0)), TIME(21,0,0),
 IF(AND(D30&gt;=TIME(18,0,0), D30&lt;=TIME(21,59,0)), TIME(0,0,0),
 IF(AND(D30&gt;=TIME(22,0,0), D30&lt;=TIME(23,59,59)), TIME(7,0,0), ""))))))))</f>
        <v/>
      </c>
      <c r="F30" s="185" t="n"/>
      <c r="G30" s="184">
        <f>E30</f>
        <v/>
      </c>
      <c r="H30" s="68" t="n"/>
      <c r="I30" s="69">
        <f>ROUND(IF(OR(D30="",E30="",E30=0),0,IF(H30="",MOD(E30-D30,1)*24,MOD(H30-D30,1)*24)),2)</f>
        <v/>
      </c>
      <c r="J30" s="186" t="n"/>
      <c r="K30" s="187" t="n"/>
      <c r="L30" s="231" t="n"/>
      <c r="M30" s="144">
        <f>MAX(0,V30-W30)</f>
        <v/>
      </c>
      <c r="N30" s="70">
        <f>(IF(OR($C30="",$D30=""),0,
 IF(OR($A30="Holiday",$A31="Holiday"),
    IF(ISNUMBER(MATCH(TRIM($B30),{"Phagwah","Good Friday","Easter Monday","Labour Day","Christmas","Eid ul Azha","Romans-2","Globe-12","Neptune P1"},0)),0,$I30),
 IF(AND(NOT(OR($A30="Annual Leave",$A31="Annual Leave")),$A30="Off day"),$I30,
  MAX(0,$I30-$V30)
  ))))+W30</f>
        <v/>
      </c>
      <c r="O30" s="70">
        <f>IF(AND(OR($A30="Holiday",$A31="Holiday"),
        ISNUMBER(MATCH(TRIM($B30),{"Phagwah","Good Friday","Easter Monday","Labour Day","Christmas","Eid ul Azha","Romans-2","Globe-12","Neptune P1"},0))),
   $I30,0)</f>
        <v/>
      </c>
      <c r="P30" s="70">
        <f>IF(OR($O$7="Canteen",$O$7="Head Office"),0,IF($I30&lt;=0,0,IF(OR(OR(TRIM($J30)="Hebrews",TRIM($J30)="Romans",TRIM($J30)="Romans-2",TRIM($J30)="Globe",TRIM($J30)="Globe-12",TRIM($J30)="Neptune P1"),AND($I31&gt;0,OR(TRIM($J31)="Hebrews",TRIM($J31)="Romans",TRIM($J31)="Romans-2",TRIM($J31)="Globe",TRIM($J31)="Globe-12",TRIM($J31)="Neptune P1"))),1,0)))</f>
        <v/>
      </c>
      <c r="Q30" s="71" t="n"/>
      <c r="R30" s="70">
        <f>IF(OR($O$7="Canteen",$O$7="Head Office"),0,IF(
  AND(
    SUMIFS(I:I, C:C, C30) &gt;= 8,
    COUNTIFS(C$14:C30, C30)=1,
    OR(
      TEXT(D30,"hh:mm:ss")="07:00:00",
      TEXT(D30,"hh:mm:ss")="15:00:00",
      TEXT(D30,"hh:mm:ss")="23:00:00",
      TEXT(D31,"hh:mm:ss")="07:00:00",
      TEXT(D31,"hh:mm:ss")="15:00:00",
      TEXT(D31,"hh:mm:ss")="23:00:00"
    )
  ),
  1,
  0
))</f>
        <v/>
      </c>
      <c r="S30" s="70">
        <f>IF(OR($A30="Annual Leave",$A31="Annual Leave"),IF($A30="Annual Leave",8,0),0)</f>
        <v/>
      </c>
      <c r="T30" s="72" t="n"/>
      <c r="U30" s="178">
        <f>MAX(0,40-Y30)</f>
        <v/>
      </c>
      <c r="V30" s="189">
        <f>IF(OR($A30="Holiday",$A31="Holiday"),IF(OR($C30="",$D30=""),0,
 IF(OR($A30="Holiday",$A31="Holiday"),0,
 IF(AND(NOT(OR($A30="Annual Leave",$A31="Annual Leave")),$A30="Off day"),0,
  IF($I30+$I31&gt;=8,IF($I30&gt;=8,8,$I30),$I30)
  )))+IF(MOD(ROW(),2)=0,8,0),IF(OR($C30="",$D30=""),0,
 IF(OR($A30="Holiday",$A31="Holiday"),0,
 IF(AND(NOT(OR($A30="Annual Leave",$A31="Annual Leave")),$A30="Off day"),0,
  IF($I30+$I31&gt;=8,IF($I30&gt;=8,8,$I30),$I30)
  ))))</f>
        <v/>
      </c>
      <c r="W30" s="189">
        <f>MAX(0,V30-U30)</f>
        <v/>
      </c>
      <c r="X30" s="189">
        <f>IF(C30="","",C30-WEEKDAY(C30,1)+1)</f>
        <v/>
      </c>
      <c r="Y30" s="189">
        <f>SUMPRODUCT(($X$14:$X29=X30)*(($V$14:$V29)+($O$14:$O29)))+IF(X30=X14,$L$11,0)</f>
        <v/>
      </c>
      <c r="Z30" s="189" t="n"/>
      <c r="AA30" s="189" t="n"/>
      <c r="AB30" s="189" t="n"/>
      <c r="AC30" s="337" t="n"/>
      <c r="AD30" s="337" t="n"/>
      <c r="AE30" s="337" t="n"/>
      <c r="AF30" s="337" t="n"/>
    </row>
    <row r="31" ht="24" customHeight="1" s="328" thickBot="1">
      <c r="A31" s="182" t="inlineStr">
        <is>
          <t>On Day</t>
        </is>
      </c>
      <c r="B31" s="232" t="n"/>
      <c r="C31" s="108">
        <f>C30</f>
        <v/>
      </c>
      <c r="D31" s="73" t="n"/>
      <c r="E31" s="190">
        <f>IF(D31="", "",
 IF(D31=TIME(0,0,0), 0,
 IF(AND(D31&gt;=TIME(0,0,1), D31&lt;=TIME(2,0,0)), TIME(7,0,0),
 IF(AND(D31&gt;=TIME(5,0,0), D31&lt;=TIME(8,0,0)), TIME(12,0,0),
 IF(AND(D31&gt;TIME(8,0,0), D31&lt;=TIME(13,59,0)), TIME(15,0,0),
 IF(AND(D31&gt;=TIME(14,0,0), D31&lt;=TIME(17,59,0)), TIME(21,0,0),
 IF(AND(D31&gt;=TIME(18,0,0), D31&lt;=TIME(21,59,0)), TIME(0,0,0),
 IF(AND(D31&gt;=TIME(22,0,0), D31&lt;=TIME(23,59,59)), TIME(7,0,0), ""))))))))</f>
        <v/>
      </c>
      <c r="F31" s="191" t="n"/>
      <c r="G31" s="190">
        <f>E31</f>
        <v/>
      </c>
      <c r="H31" s="73" t="n"/>
      <c r="I31" s="74">
        <f>ROUND(IF(OR(D31="",E31="",E31=0),0,IF(H31="",MOD(E31-D31,1)*24,MOD(H31-D31,1)*24)),2)</f>
        <v/>
      </c>
      <c r="J31" s="186" t="n"/>
      <c r="K31" s="187" t="n"/>
      <c r="L31" s="233" t="n"/>
      <c r="M31" s="144">
        <f>MAX(0,V31-W31)</f>
        <v/>
      </c>
      <c r="N31" s="75">
        <f>(IF(OR($C31="",$D31=""),0,
 IF(OR($A30="Holiday",$A31="Holiday"),
    IF(ISNUMBER(MATCH(TRIM($B31),{"Phagwah","Good Friday","Easter Monday","Labour Day","Christmas","Eid ul Azha","Romans-2","Globe-12","Neptune P1"},0)),0,$I31),
 IF(AND(NOT(OR($A30="Annual Leave",$A31="Annual Leave")),$A31="Off day"),$I31,
  MAX(0,$I31-$V31)
  ))))+W31</f>
        <v/>
      </c>
      <c r="O31" s="75">
        <f>IF(AND(OR($A30="Holiday",$A31="Holiday"),
        ISNUMBER(MATCH(TRIM($B31),{"Phagwah","Good Friday","Easter Monday","Labour Day","Christmas","Eid ul Azha","Romans-2","Globe-12","Neptune P1"},0))),
   $I31,0)</f>
        <v/>
      </c>
      <c r="P31" s="75">
        <f>IF(OR($O$7="Canteen",$O$7="Head Office"),0,IF($I31&lt;=0,0,IF(AND($I30&lt;=0,OR(TRIM($J31)="Hebrews",TRIM($J31)="Romans",TRIM($J31)="Romans-2",TRIM($J31)="Globe",TRIM($J31)="Globe-12",TRIM($J31)="Neptune P1")),1,0)))</f>
        <v/>
      </c>
      <c r="Q31" s="76" t="n"/>
      <c r="R31" s="75">
        <f>IF(OR($O$7="Canteen",$O$7="Head Office"),0,IF(
  AND(
    SUMIFS(I:I, C:C, C31) &gt;= 8,
    COUNTIFS(C$14:C31, C31)=1,
    OR(
      TEXT(D31,"hh:mm:ss")="07:00:00",
      TEXT(D31,"hh:mm:ss")="15:00:00",
      TEXT(D31,"hh:mm:ss")="23:00:00",
      TEXT(D32,"hh:mm:ss")="07:00:00",
      TEXT(D32,"hh:mm:ss")="15:00:00",
      TEXT(D32,"hh:mm:ss")="23:00:00"
    )
  ),
  1,
  0
))</f>
        <v/>
      </c>
      <c r="S31" s="75">
        <f>IF(OR($A30="Annual Leave",$A31="Annual Leave"),IF(AND($A30&lt;&gt;"Annual Leave",$A31="Annual Leave"),8,0),0)</f>
        <v/>
      </c>
      <c r="T31" s="77" t="n"/>
      <c r="U31" s="178">
        <f>MAX(0,40-Y31)</f>
        <v/>
      </c>
      <c r="V31" s="189">
        <f>IF(OR($A31="Holiday",$A30="Holiday"),IF(OR($C31="",$D31=""),0,
 IF(OR($A30="Holiday",$A31="Holiday"),0,
 IF(AND(NOT(OR($A30="Annual Leave",$A31="Annual Leave")),$A31="Off day"),0,
  IF($I30+$I31&gt;=8,IF($I30&gt;=8,0,8-$I30),$I31)
  )))+IF(MOD(ROW(),2)=0,8,0),IF(OR($C31="",$D31=""),0,
 IF(OR($A30="Holiday",$A31="Holiday"),0,
 IF(AND(NOT(OR($A30="Annual Leave",$A31="Annual Leave")),$A31="Off day"),0,
  IF($I30+$I31&gt;=8,IF($I30&gt;=8,0,8-$I30),$I31)
  ))))</f>
        <v/>
      </c>
      <c r="W31" s="189">
        <f>MAX(0,V31-U31)</f>
        <v/>
      </c>
      <c r="X31" s="189">
        <f>IF(C31="","",C31-WEEKDAY(C31,1)+1)</f>
        <v/>
      </c>
      <c r="Y31" s="189">
        <f>SUMPRODUCT(($X$14:$X30=X31)*(($V$14:$V30)+($O$14:$O30)))+IF(X31=X14,$L$11,0)</f>
        <v/>
      </c>
      <c r="Z31" s="189" t="n"/>
      <c r="AA31" s="189" t="n"/>
      <c r="AB31" s="189" t="n"/>
      <c r="AC31" s="337" t="n"/>
      <c r="AD31" s="337" t="n"/>
      <c r="AE31" s="337" t="n"/>
      <c r="AF31" s="337" t="n"/>
    </row>
    <row r="32" ht="24" customHeight="1" s="328" thickBot="1">
      <c r="A32" s="234" t="inlineStr">
        <is>
          <t>On Day</t>
        </is>
      </c>
      <c r="B32" s="235" t="n"/>
      <c r="C32" s="121">
        <f>C30+1</f>
        <v/>
      </c>
      <c r="D32" s="20" t="n"/>
      <c r="E32" s="236">
        <f>IF(D32="", "",
 IF(D32=TIME(0,0,0), 0,
 IF(AND(D32&gt;=TIME(0,0,1), D32&lt;=TIME(2,0,0)), TIME(7,0,0),
 IF(AND(D32&gt;=TIME(5,0,0), D32&lt;=TIME(8,0,0)), TIME(12,0,0),
 IF(AND(D32&gt;TIME(8,0,0), D32&lt;=TIME(13,59,0)), TIME(15,0,0),
 IF(AND(D32&gt;=TIME(14,0,0), D32&lt;=TIME(17,59,0)), TIME(21,0,0),
 IF(AND(D32&gt;=TIME(18,0,0), D32&lt;=TIME(21,59,0)), TIME(0,0,0),
 IF(AND(D32&gt;=TIME(22,0,0), D32&lt;=TIME(23,59,59)), TIME(7,0,0), ""))))))))</f>
        <v/>
      </c>
      <c r="F32" s="237" t="n"/>
      <c r="G32" s="236">
        <f>E32</f>
        <v/>
      </c>
      <c r="H32" s="20" t="n"/>
      <c r="I32" s="105">
        <f>ROUND(IF(OR(D32="",E32="",E32=0),0,IF(H32="",MOD(E32-D32,1)*24,MOD(H32-D32,1)*24)),2)</f>
        <v/>
      </c>
      <c r="J32" s="238" t="n"/>
      <c r="K32" s="239" t="n"/>
      <c r="L32" s="240" t="n"/>
      <c r="M32" s="149">
        <f>MAX(0,V32-W32)</f>
        <v/>
      </c>
      <c r="N32" s="21">
        <f>(IF(OR($C32="",$D32=""),0,
 IF(OR($A32="Holiday",$A33="Holiday"),
    IF(ISNUMBER(MATCH(TRIM($B32),{"Phagwah","Good Friday","Easter Monday","Labour Day","Christmas","Eid ul Azha","Romans-2","Globe-12","Neptune P1"},0)),0,$I32),
 IF(AND(NOT(OR($A32="Annual Leave",$A33="Annual Leave")),$A32="Off day"),$I32,
  MAX(0,$I32-$V32)
  ))))+W32</f>
        <v/>
      </c>
      <c r="O32" s="21">
        <f>IF(AND(OR($A32="Holiday",$A33="Holiday"),
        ISNUMBER(MATCH(TRIM($B32),{"Phagwah","Good Friday","Easter Monday","Labour Day","Christmas","Eid ul Azha","Romans-2","Globe-12","Neptune P1"},0))),
   $I32,0)</f>
        <v/>
      </c>
      <c r="P32" s="21">
        <f>IF(OR($O$7="Canteen",$O$7="Head Office"),0,IF($I32&lt;=0,0,IF(OR(OR(TRIM($J32)="Hebrews",TRIM($J32)="Romans",TRIM($J32)="Romans-2",TRIM($J32)="Globe",TRIM($J32)="Globe-12",TRIM($J32)="Neptune P1"),AND($I33&gt;0,OR(TRIM($J33)="Hebrews",TRIM($J33)="Romans",TRIM($J33)="Romans-2",TRIM($J33)="Globe",TRIM($J33)="Globe-12",TRIM($J33)="Neptune P1"))),1,0)))</f>
        <v/>
      </c>
      <c r="Q32" s="22" t="n"/>
      <c r="R32" s="21">
        <f>IF(OR($O$7="Canteen",$O$7="Head Office"),0,IF(
  AND(
    SUMIFS(I:I, C:C, C32) &gt;= 8,
    COUNTIFS(C$14:C32, C32)=1,
    OR(
      TEXT(D32,"hh:mm:ss")="07:00:00",
      TEXT(D32,"hh:mm:ss")="15:00:00",
      TEXT(D32,"hh:mm:ss")="23:00:00",
      TEXT(D33,"hh:mm:ss")="07:00:00",
      TEXT(D33,"hh:mm:ss")="15:00:00",
      TEXT(D33,"hh:mm:ss")="23:00:00"
    )
  ),
  1,
  0
))</f>
        <v/>
      </c>
      <c r="S32" s="21">
        <f>IF(OR($A32="Annual Leave",$A33="Annual Leave"),IF($A32="Annual Leave",8,0),0)</f>
        <v/>
      </c>
      <c r="T32" s="122" t="n"/>
      <c r="U32" s="178">
        <f>MAX(0,40-Y32)</f>
        <v/>
      </c>
      <c r="V32" s="337">
        <f>IF(OR($A32="Holiday",$A33="Holiday"),IF(OR($C32="",$D32=""),0,
 IF(OR($A32="Holiday",$A33="Holiday"),0,
 IF(AND(NOT(OR($A32="Annual Leave",$A33="Annual Leave")),$A32="Off day"),0,
  IF($I32+$I33&gt;=8,IF($I32&gt;=8,8,$I32),$I32)
  )))+IF(MOD(ROW(),2)=0,8,0),IF(OR($C32="",$D32=""),0,
 IF(OR($A32="Holiday",$A33="Holiday"),0,
 IF(AND(NOT(OR($A32="Annual Leave",$A33="Annual Leave")),$A32="Off day"),0,
  IF($I32+$I33&gt;=8,IF($I32&gt;=8,8,$I32),$I32)
  ))))</f>
        <v/>
      </c>
      <c r="W32" s="337">
        <f>MAX(0,V32-U32)</f>
        <v/>
      </c>
      <c r="X32" s="337">
        <f>IF(C32="","",C32-WEEKDAY(C32,1)+1)</f>
        <v/>
      </c>
      <c r="Y32" s="337">
        <f>SUMPRODUCT(($X$14:$X31=X32)*(($V$14:$V31)+($O$14:$O31)))+IF(X32=X14,$L$11,0)</f>
        <v/>
      </c>
      <c r="Z32" s="337" t="n"/>
      <c r="AA32" s="337" t="n"/>
      <c r="AB32" s="337" t="n"/>
      <c r="AC32" s="337" t="n"/>
      <c r="AD32" s="337" t="n"/>
      <c r="AE32" s="337" t="n"/>
      <c r="AF32" s="337" t="n"/>
    </row>
    <row r="33" ht="24" customHeight="1" s="328" thickBot="1">
      <c r="A33" s="234" t="inlineStr">
        <is>
          <t>On Day</t>
        </is>
      </c>
      <c r="B33" s="241" t="n"/>
      <c r="C33" s="121">
        <f>C32</f>
        <v/>
      </c>
      <c r="D33" s="9" t="n"/>
      <c r="E33" s="242">
        <f>IF(D33="", "",
 IF(D33=TIME(0,0,0), 0,
 IF(AND(D33&gt;=TIME(0,0,1), D33&lt;=TIME(2,0,0)), TIME(7,0,0),
 IF(AND(D33&gt;=TIME(5,0,0), D33&lt;=TIME(8,0,0)), TIME(12,0,0),
 IF(AND(D33&gt;TIME(8,0,0), D33&lt;=TIME(13,59,0)), TIME(15,0,0),
 IF(AND(D33&gt;=TIME(14,0,0), D33&lt;=TIME(17,59,0)), TIME(21,0,0),
 IF(AND(D33&gt;=TIME(18,0,0), D33&lt;=TIME(21,59,0)), TIME(0,0,0),
 IF(AND(D33&gt;=TIME(22,0,0), D33&lt;=TIME(23,59,59)), TIME(7,0,0), ""))))))))</f>
        <v/>
      </c>
      <c r="F33" s="237" t="n"/>
      <c r="G33" s="242">
        <f>E33</f>
        <v/>
      </c>
      <c r="H33" s="9" t="n"/>
      <c r="I33" s="105">
        <f>ROUND(IF(OR(D33="",E33="",E33=0),0,IF(H33="",MOD(E33-D33,1)*24,MOD(H33-D33,1)*24)),2)</f>
        <v/>
      </c>
      <c r="J33" s="243" t="n"/>
      <c r="K33" s="239" t="n"/>
      <c r="L33" s="240" t="n"/>
      <c r="M33" s="149">
        <f>MAX(0,V33-W33)</f>
        <v/>
      </c>
      <c r="N33" s="23">
        <f>(IF(OR($C33="",$D33=""),0,
 IF(OR($A32="Holiday",$A33="Holiday"),
    IF(ISNUMBER(MATCH(TRIM($B33),{"Phagwah","Good Friday","Easter Monday","Labour Day","Christmas","Eid ul Azha","Romans-2","Globe-12","Neptune P1"},0)),0,$I33),
 IF(AND(NOT(OR($A32="Annual Leave",$A33="Annual Leave")),$A33="Off day"),$I33,
  MAX(0,$I33-$V33)
  ))))+W33</f>
        <v/>
      </c>
      <c r="O33" s="23">
        <f>IF(AND(OR($A32="Holiday",$A33="Holiday"),
        ISNUMBER(MATCH(TRIM($B33),{"Phagwah","Good Friday","Easter Monday","Labour Day","Christmas","Eid ul Azha","Romans-2","Globe-12","Neptune P1"},0))),
   $I33,0)</f>
        <v/>
      </c>
      <c r="P33" s="23">
        <f>IF(OR($O$7="Canteen",$O$7="Head Office"),0,IF($I33&lt;=0,0,IF(AND($I32&lt;=0,OR(TRIM($J33)="Hebrews",TRIM($J33)="Romans",TRIM($J33)="Romans-2",TRIM($J33)="Globe",TRIM($J33)="Globe-12",TRIM($J33)="Neptune P1")),1,0)))</f>
        <v/>
      </c>
      <c r="Q33" s="10" t="n"/>
      <c r="R33" s="23">
        <f>IF(OR($O$7="Canteen",$O$7="Head Office"),0,IF(
  AND(
    SUMIFS(I:I, C:C, C33) &gt;= 8,
    COUNTIFS(C$14:C33, C33)=1,
    OR(
      TEXT(D33,"hh:mm:ss")="07:00:00",
      TEXT(D33,"hh:mm:ss")="15:00:00",
      TEXT(D33,"hh:mm:ss")="23:00:00",
      TEXT(D34,"hh:mm:ss")="07:00:00",
      TEXT(D34,"hh:mm:ss")="15:00:00",
      TEXT(D34,"hh:mm:ss")="23:00:00"
    )
  ),
  1,
  0
))</f>
        <v/>
      </c>
      <c r="S33" s="23">
        <f>IF(OR($A32="Annual Leave",$A33="Annual Leave"),IF(AND($A32&lt;&gt;"Annual Leave",$A33="Annual Leave"),8,0),0)</f>
        <v/>
      </c>
      <c r="T33" s="106" t="n"/>
      <c r="U33" s="178">
        <f>MAX(0,40-Y33)</f>
        <v/>
      </c>
      <c r="V33" s="337">
        <f>IF(OR($A33="Holiday",$A32="Holiday"),IF(OR($C33="",$D33=""),0,
 IF(OR($A32="Holiday",$A33="Holiday"),0,
 IF(AND(NOT(OR($A32="Annual Leave",$A33="Annual Leave")),$A33="Off day"),0,
  IF($I32+$I33&gt;=8,IF($I32&gt;=8,0,8-$I32),$I33)
  )))+IF(MOD(ROW(),2)=0,8,0),IF(OR($C33="",$D33=""),0,
 IF(OR($A32="Holiday",$A33="Holiday"),0,
 IF(AND(NOT(OR($A32="Annual Leave",$A33="Annual Leave")),$A33="Off day"),0,
  IF($I32+$I33&gt;=8,IF($I32&gt;=8,0,8-$I32),$I33)
  ))))</f>
        <v/>
      </c>
      <c r="W33" s="337">
        <f>MAX(0,V33-U33)</f>
        <v/>
      </c>
      <c r="X33" s="337">
        <f>IF(C33="","",C33-WEEKDAY(C33,1)+1)</f>
        <v/>
      </c>
      <c r="Y33" s="337">
        <f>SUMPRODUCT(($X$14:$X32=X33)*(($V$14:$V32)+($O$14:$O32)))+IF(X33=X14,$L$11,0)</f>
        <v/>
      </c>
      <c r="Z33" s="337" t="n"/>
      <c r="AA33" s="337" t="n"/>
      <c r="AB33" s="337" t="n"/>
      <c r="AC33" s="337" t="n"/>
      <c r="AD33" s="337" t="n"/>
      <c r="AE33" s="337" t="n"/>
      <c r="AF33" s="337" t="n"/>
    </row>
    <row r="34" ht="24" customHeight="1" s="328" thickBot="1">
      <c r="A34" s="200" t="inlineStr">
        <is>
          <t>On Day</t>
        </is>
      </c>
      <c r="B34" s="244" t="n"/>
      <c r="C34" s="111">
        <f>C32+1</f>
        <v/>
      </c>
      <c r="D34" s="42" t="n"/>
      <c r="E34" s="202">
        <f>IF(D34="", "",
 IF(D34=TIME(0,0,0), 0,
 IF(AND(D34&gt;=TIME(0,0,1), D34&lt;=TIME(2,0,0)), TIME(7,0,0),
 IF(AND(D34&gt;=TIME(5,0,0), D34&lt;=TIME(8,0,0)), TIME(12,0,0),
 IF(AND(D34&gt;TIME(8,0,0), D34&lt;=TIME(13,59,0)), TIME(15,0,0),
 IF(AND(D34&gt;=TIME(14,0,0), D34&lt;=TIME(17,59,0)), TIME(21,0,0),
 IF(AND(D34&gt;=TIME(18,0,0), D34&lt;=TIME(21,59,0)), TIME(0,0,0),
 IF(AND(D34&gt;=TIME(22,0,0), D34&lt;=TIME(23,59,59)), TIME(7,0,0), ""))))))))</f>
        <v/>
      </c>
      <c r="F34" s="203" t="n"/>
      <c r="G34" s="202">
        <f>E34</f>
        <v/>
      </c>
      <c r="H34" s="42" t="n"/>
      <c r="I34" s="43">
        <f>ROUND(IF(OR(D34="",E34="",E34=0),0,IF(H34="",MOD(E34-D34,1)*24,MOD(H34-D34,1)*24)),2)</f>
        <v/>
      </c>
      <c r="J34" s="204" t="n"/>
      <c r="K34" s="205" t="n"/>
      <c r="L34" s="231" t="n"/>
      <c r="M34" s="146">
        <f>MAX(0,V34-W34)</f>
        <v/>
      </c>
      <c r="N34" s="44">
        <f>(IF(OR($C34="",$D34=""),0,
 IF(OR($A34="Holiday",$A35="Holiday"),
    IF(ISNUMBER(MATCH(TRIM($B34),{"Phagwah","Good Friday","Easter Monday","Labour Day","Christmas","Eid ul Azha","Romans-2","Globe-12","Neptune P1"},0)),0,$I34),
 IF(AND(NOT(OR($A34="Annual Leave",$A35="Annual Leave")),$A34="Off day"),$I34,
  MAX(0,$I34-$V34)
  ))))+W34</f>
        <v/>
      </c>
      <c r="O34" s="44">
        <f>IF(AND(OR($A34="Holiday",$A35="Holiday"),
        ISNUMBER(MATCH(TRIM($B34),{"Phagwah","Good Friday","Easter Monday","Labour Day","Christmas","Eid ul Azha","Romans-2","Globe-12","Neptune P1"},0))),
   $I34,0)</f>
        <v/>
      </c>
      <c r="P34" s="44">
        <f>IF(OR($O$7="Canteen",$O$7="Head Office"),0,IF($I34&lt;=0,0,IF(OR(OR(TRIM($J34)="Hebrews",TRIM($J34)="Romans",TRIM($J34)="Romans-2",TRIM($J34)="Globe",TRIM($J34)="Globe-12",TRIM($J34)="Neptune P1"),AND($I35&gt;0,OR(TRIM($J35)="Hebrews",TRIM($J35)="Romans",TRIM($J35)="Romans-2",TRIM($J35)="Globe",TRIM($J35)="Globe-12",TRIM($J35)="Neptune P1"))),1,0)))</f>
        <v/>
      </c>
      <c r="Q34" s="45" t="n"/>
      <c r="R34" s="44">
        <f>IF(OR($O$7="Canteen",$O$7="Head Office"),0,IF(
  AND(
    SUMIFS(I:I, C:C, C34) &gt;= 8,
    COUNTIFS(C$14:C34, C34)=1,
    OR(
      TEXT(D34,"hh:mm:ss")="07:00:00",
      TEXT(D34,"hh:mm:ss")="15:00:00",
      TEXT(D34,"hh:mm:ss")="23:00:00",
      TEXT(D35,"hh:mm:ss")="07:00:00",
      TEXT(D35,"hh:mm:ss")="15:00:00",
      TEXT(D35,"hh:mm:ss")="23:00:00"
    )
  ),
  1,
  0
))</f>
        <v/>
      </c>
      <c r="S34" s="44">
        <f>IF(OR($A34="Annual Leave",$A35="Annual Leave"),IF($A34="Annual Leave",8,0),0)</f>
        <v/>
      </c>
      <c r="T34" s="46" t="n"/>
      <c r="U34" s="178">
        <f>MAX(0,40-Y34)</f>
        <v/>
      </c>
      <c r="V34" s="337">
        <f>IF(OR($A34="Holiday",$A35="Holiday"),IF(OR($C34="",$D34=""),0,
 IF(OR($A34="Holiday",$A35="Holiday"),0,
 IF(AND(NOT(OR($A34="Annual Leave",$A35="Annual Leave")),$A34="Off day"),0,
  IF($I34+$I35&gt;=8,IF($I34&gt;=8,8,$I34),$I34)
  )))+IF(MOD(ROW(),2)=0,8,0),IF(OR($C34="",$D34=""),0,
 IF(OR($A34="Holiday",$A35="Holiday"),0,
 IF(AND(NOT(OR($A34="Annual Leave",$A35="Annual Leave")),$A34="Off day"),0,
  IF($I34+$I35&gt;=8,IF($I34&gt;=8,8,$I34),$I34)
  ))))</f>
        <v/>
      </c>
      <c r="W34" s="337">
        <f>MAX(0,V34-U34)</f>
        <v/>
      </c>
      <c r="X34" s="337">
        <f>IF(C34="","",C34-WEEKDAY(C34,1)+1)</f>
        <v/>
      </c>
      <c r="Y34" s="337">
        <f>SUMPRODUCT(($X$14:$X33=X34)*(($V$14:$V33)+($O$14:$O33)))+IF(X34=X14,$L$11,0)</f>
        <v/>
      </c>
      <c r="Z34" s="337" t="n"/>
      <c r="AA34" s="337" t="n"/>
      <c r="AB34" s="337" t="n"/>
      <c r="AC34" s="337" t="n"/>
      <c r="AD34" s="337" t="n"/>
      <c r="AE34" s="337" t="n"/>
      <c r="AF34" s="337" t="n"/>
    </row>
    <row r="35" ht="24" customHeight="1" s="328" thickBot="1">
      <c r="A35" s="200" t="inlineStr">
        <is>
          <t>On Day</t>
        </is>
      </c>
      <c r="B35" s="245" t="n"/>
      <c r="C35" s="112">
        <f>C34</f>
        <v/>
      </c>
      <c r="D35" s="47" t="n"/>
      <c r="E35" s="206">
        <f>IF(D35="", "",
 IF(D35=TIME(0,0,0), 0,
 IF(AND(D35&gt;=TIME(0,0,1), D35&lt;=TIME(2,0,0)), TIME(7,0,0),
 IF(AND(D35&gt;=TIME(5,0,0), D35&lt;=TIME(8,0,0)), TIME(12,0,0),
 IF(AND(D35&gt;TIME(8,0,0), D35&lt;=TIME(13,59,0)), TIME(15,0,0),
 IF(AND(D35&gt;=TIME(14,0,0), D35&lt;=TIME(17,59,0)), TIME(21,0,0),
 IF(AND(D35&gt;=TIME(18,0,0), D35&lt;=TIME(21,59,0)), TIME(0,0,0),
 IF(AND(D35&gt;=TIME(22,0,0), D35&lt;=TIME(23,59,59)), TIME(7,0,0), ""))))))))</f>
        <v/>
      </c>
      <c r="F35" s="207" t="n"/>
      <c r="G35" s="206">
        <f>E35</f>
        <v/>
      </c>
      <c r="H35" s="47" t="n"/>
      <c r="I35" s="48">
        <f>ROUND(IF(OR(D35="",E35="",E35=0),0,IF(H35="",MOD(E35-D35,1)*24,MOD(H35-D35,1)*24)),2)</f>
        <v/>
      </c>
      <c r="J35" s="204" t="n"/>
      <c r="K35" s="205" t="n"/>
      <c r="L35" s="233" t="n"/>
      <c r="M35" s="146">
        <f>MAX(0,V35-W35)</f>
        <v/>
      </c>
      <c r="N35" s="49">
        <f>(IF(OR($C35="",$D35=""),0,
 IF(OR($A34="Holiday",$A35="Holiday"),
    IF(ISNUMBER(MATCH(TRIM($B35),{"Phagwah","Good Friday","Easter Monday","Labour Day","Christmas","Eid ul Azha","Romans-2","Globe-12","Neptune P1"},0)),0,$I35),
 IF(AND(NOT(OR($A34="Annual Leave",$A35="Annual Leave")),$A35="Off day"),$I35,
  MAX(0,$I35-$V35)
  ))))+W35</f>
        <v/>
      </c>
      <c r="O35" s="49">
        <f>IF(AND(OR($A34="Holiday",$A35="Holiday"),
        ISNUMBER(MATCH(TRIM($B35),{"Phagwah","Good Friday","Easter Monday","Labour Day","Christmas","Eid ul Azha","Romans-2","Globe-12","Neptune P1"},0))),
   $I35,0)</f>
        <v/>
      </c>
      <c r="P35" s="49">
        <f>IF(OR($O$7="Canteen",$O$7="Head Office"),0,IF($I35&lt;=0,0,IF(AND($I34&lt;=0,OR(TRIM($J35)="Hebrews",TRIM($J35)="Romans",TRIM($J35)="Romans-2",TRIM($J35)="Globe",TRIM($J35)="Globe-12",TRIM($J35)="Neptune P1")),1,0)))</f>
        <v/>
      </c>
      <c r="Q35" s="50" t="n"/>
      <c r="R35" s="49">
        <f>IF(OR($O$7="Canteen",$O$7="Head Office"),0,IF(
  AND(
    SUMIFS(I:I, C:C, C35) &gt;= 8,
    COUNTIFS(C$14:C35, C35)=1,
    OR(
      TEXT(D35,"hh:mm:ss")="07:00:00",
      TEXT(D35,"hh:mm:ss")="15:00:00",
      TEXT(D35,"hh:mm:ss")="23:00:00",
      TEXT(D36,"hh:mm:ss")="07:00:00",
      TEXT(D36,"hh:mm:ss")="15:00:00",
      TEXT(D36,"hh:mm:ss")="23:00:00"
    )
  ),
  1,
  0
))</f>
        <v/>
      </c>
      <c r="S35" s="49">
        <f>IF(OR($A34="Annual Leave",$A35="Annual Leave"),IF(AND($A34&lt;&gt;"Annual Leave",$A35="Annual Leave"),8,0),0)</f>
        <v/>
      </c>
      <c r="T35" s="51" t="n"/>
      <c r="U35" s="178">
        <f>MAX(0,40-Y35)</f>
        <v/>
      </c>
      <c r="V35" s="337">
        <f>IF(OR($A35="Holiday",$A34="Holiday"),IF(OR($C35="",$D35=""),0,
 IF(OR($A34="Holiday",$A35="Holiday"),0,
 IF(AND(NOT(OR($A34="Annual Leave",$A35="Annual Leave")),$A35="Off day"),0,
  IF($I34+$I35&gt;=8,IF($I34&gt;=8,0,8-$I34),$I35)
  )))+IF(MOD(ROW(),2)=0,8,0),IF(OR($C35="",$D35=""),0,
 IF(OR($A34="Holiday",$A35="Holiday"),0,
 IF(AND(NOT(OR($A34="Annual Leave",$A35="Annual Leave")),$A35="Off day"),0,
  IF($I34+$I35&gt;=8,IF($I34&gt;=8,0,8-$I34),$I35)
  ))))</f>
        <v/>
      </c>
      <c r="W35" s="337">
        <f>MAX(0,V35-U35)</f>
        <v/>
      </c>
      <c r="X35" s="337">
        <f>IF(C35="","",C35-WEEKDAY(C35,1)+1)</f>
        <v/>
      </c>
      <c r="Y35" s="337">
        <f>SUMPRODUCT(($X$14:$X34=X35)*(($V$14:$V34)+($O$14:$O34)))+IF(X35=X14,$L$11,0)</f>
        <v/>
      </c>
      <c r="Z35" s="337" t="n"/>
      <c r="AA35" s="337" t="n"/>
      <c r="AB35" s="337" t="n"/>
      <c r="AC35" s="337" t="n"/>
      <c r="AD35" s="337" t="n"/>
      <c r="AE35" s="337" t="n"/>
      <c r="AF35" s="337" t="n"/>
    </row>
    <row r="36" ht="24" customHeight="1" s="328" thickBot="1">
      <c r="A36" s="192" t="inlineStr">
        <is>
          <t>On Day</t>
        </is>
      </c>
      <c r="B36" s="246" t="n"/>
      <c r="C36" s="109">
        <f>C34+1</f>
        <v/>
      </c>
      <c r="D36" s="14" t="n"/>
      <c r="E36" s="194">
        <f>IF(D36="", "",
 IF(D36=TIME(0,0,0), 0,
 IF(AND(D36&gt;=TIME(0,0,1), D36&lt;=TIME(2,0,0)), TIME(7,0,0),
 IF(AND(D36&gt;=TIME(5,0,0), D36&lt;=TIME(8,0,0)), TIME(12,0,0),
 IF(AND(D36&gt;TIME(8,0,0), D36&lt;=TIME(13,59,0)), TIME(15,0,0),
 IF(AND(D36&gt;=TIME(14,0,0), D36&lt;=TIME(17,59,0)), TIME(21,0,0),
 IF(AND(D36&gt;=TIME(18,0,0), D36&lt;=TIME(21,59,0)), TIME(0,0,0),
 IF(AND(D36&gt;=TIME(22,0,0), D36&lt;=TIME(23,59,59)), TIME(7,0,0), ""))))))))</f>
        <v/>
      </c>
      <c r="F36" s="195" t="n"/>
      <c r="G36" s="194">
        <f>E36</f>
        <v/>
      </c>
      <c r="H36" s="14" t="n"/>
      <c r="I36" s="40">
        <f>ROUND(IF(OR(D36="",E36="",E36=0),0,IF(H36="",MOD(E36-D36,1)*24,MOD(H36-D36,1)*24)),2)</f>
        <v/>
      </c>
      <c r="J36" s="196" t="n"/>
      <c r="K36" s="197" t="n"/>
      <c r="L36" s="240" t="n"/>
      <c r="M36" s="145">
        <f>MAX(0,V36-W36)</f>
        <v/>
      </c>
      <c r="N36" s="15">
        <f>(IF(OR($C36="",$D36=""),0,
 IF(OR($A36="Holiday",$A37="Holiday"),
    IF(ISNUMBER(MATCH(TRIM($B36),{"Phagwah","Good Friday","Easter Monday","Labour Day","Christmas","Eid ul Azha","Romans-2","Globe-12","Neptune P1"},0)),0,$I36),
 IF(AND(NOT(OR($A36="Annual Leave",$A37="Annual Leave")),$A36="Off day"),$I36,
  MAX(0,$I36-$V36)
  ))))+W36</f>
        <v/>
      </c>
      <c r="O36" s="15">
        <f>IF(AND(OR($A36="Holiday",$A37="Holiday"),
        ISNUMBER(MATCH(TRIM($B36),{"Phagwah","Good Friday","Easter Monday","Labour Day","Christmas","Eid ul Azha","Romans-2","Globe-12","Neptune P1"},0))),
   $I36,0)</f>
        <v/>
      </c>
      <c r="P36" s="15">
        <f>IF(OR($O$7="Canteen",$O$7="Head Office"),0,IF($I36&lt;=0,0,IF(OR(OR(TRIM($J36)="Hebrews",TRIM($J36)="Romans",TRIM($J36)="Romans-2",TRIM($J36)="Globe",TRIM($J36)="Globe-12",TRIM($J36)="Neptune P1"),AND($I37&gt;0,OR(TRIM($J37)="Hebrews",TRIM($J37)="Romans",TRIM($J37)="Romans-2",TRIM($J37)="Globe",TRIM($J37)="Globe-12",TRIM($J37)="Neptune P1"))),1,0)))</f>
        <v/>
      </c>
      <c r="Q36" s="16" t="n"/>
      <c r="R36" s="15">
        <f>IF(OR($O$7="Canteen",$O$7="Head Office"),0,IF(
  AND(
    SUMIFS(I:I, C:C, C36) &gt;= 8,
    COUNTIFS(C$14:C36, C36)=1,
    OR(
      TEXT(D36,"hh:mm:ss")="07:00:00",
      TEXT(D36,"hh:mm:ss")="15:00:00",
      TEXT(D36,"hh:mm:ss")="23:00:00",
      TEXT(D37,"hh:mm:ss")="07:00:00",
      TEXT(D37,"hh:mm:ss")="15:00:00",
      TEXT(D37,"hh:mm:ss")="23:00:00"
    )
  ),
  1,
  0
))</f>
        <v/>
      </c>
      <c r="S36" s="15">
        <f>IF(OR($A36="Annual Leave",$A37="Annual Leave"),IF($A36="Annual Leave",8,0),0)</f>
        <v/>
      </c>
      <c r="T36" s="110" t="n"/>
      <c r="U36" s="178">
        <f>MAX(0,40-Y36)</f>
        <v/>
      </c>
      <c r="V36" s="337">
        <f>IF(OR($A36="Holiday",$A37="Holiday"),IF(OR($C36="",$D36=""),0,
 IF(OR($A36="Holiday",$A37="Holiday"),0,
 IF(AND(NOT(OR($A36="Annual Leave",$A37="Annual Leave")),$A36="Off day"),0,
  IF($I36+$I37&gt;=8,IF($I36&gt;=8,8,$I36),$I36)
  )))+IF(MOD(ROW(),2)=0,8,0),IF(OR($C36="",$D36=""),0,
 IF(OR($A36="Holiday",$A37="Holiday"),0,
 IF(AND(NOT(OR($A36="Annual Leave",$A37="Annual Leave")),$A36="Off day"),0,
  IF($I36+$I37&gt;=8,IF($I36&gt;=8,8,$I36),$I36)
  ))))</f>
        <v/>
      </c>
      <c r="W36" s="337">
        <f>MAX(0,V36-U36)</f>
        <v/>
      </c>
      <c r="X36" s="337">
        <f>IF(C36="","",C36-WEEKDAY(C36,1)+1)</f>
        <v/>
      </c>
      <c r="Y36" s="337">
        <f>SUMPRODUCT(($X$14:$X35=X36)*(($V$14:$V35)+($O$14:$O35)))+IF(X36=X14,$L$11,0)</f>
        <v/>
      </c>
      <c r="Z36" s="337" t="n"/>
      <c r="AA36" s="337" t="n"/>
      <c r="AB36" s="337" t="n"/>
      <c r="AC36" s="337" t="n"/>
      <c r="AD36" s="337" t="n"/>
      <c r="AE36" s="337" t="n"/>
      <c r="AF36" s="337" t="n"/>
    </row>
    <row r="37" ht="24" customHeight="1" s="328" thickBot="1">
      <c r="A37" s="192" t="inlineStr">
        <is>
          <t>On Day</t>
        </is>
      </c>
      <c r="B37" s="247" t="n"/>
      <c r="C37" s="109">
        <f>C36</f>
        <v/>
      </c>
      <c r="D37" s="17" t="n"/>
      <c r="E37" s="198">
        <f>IF(D37="", "",
 IF(D37=TIME(0,0,0), 0,
 IF(AND(D37&gt;=TIME(0,0,1), D37&lt;=TIME(2,0,0)), TIME(7,0,0),
 IF(AND(D37&gt;=TIME(5,0,0), D37&lt;=TIME(8,0,0)), TIME(12,0,0),
 IF(AND(D37&gt;TIME(8,0,0), D37&lt;=TIME(13,59,0)), TIME(15,0,0),
 IF(AND(D37&gt;=TIME(14,0,0), D37&lt;=TIME(17,59,0)), TIME(21,0,0),
 IF(AND(D37&gt;=TIME(18,0,0), D37&lt;=TIME(21,59,0)), TIME(0,0,0),
 IF(AND(D37&gt;=TIME(22,0,0), D37&lt;=TIME(23,59,59)), TIME(7,0,0), ""))))))))</f>
        <v/>
      </c>
      <c r="F37" s="195" t="n"/>
      <c r="G37" s="198">
        <f>E37</f>
        <v/>
      </c>
      <c r="H37" s="17" t="n"/>
      <c r="I37" s="40">
        <f>ROUND(IF(OR(D37="",E37="",E37=0),0,IF(H37="",MOD(E37-D37,1)*24,MOD(H37-D37,1)*24)),2)</f>
        <v/>
      </c>
      <c r="J37" s="199" t="n"/>
      <c r="K37" s="197" t="n"/>
      <c r="L37" s="240" t="n"/>
      <c r="M37" s="145">
        <f>MAX(0,V37-W37)</f>
        <v/>
      </c>
      <c r="N37" s="18">
        <f>(IF(OR($C37="",$D37=""),0,
 IF(OR($A36="Holiday",$A37="Holiday"),
    IF(ISNUMBER(MATCH(TRIM($B37),{"Phagwah","Good Friday","Easter Monday","Labour Day","Christmas","Eid ul Azha","Romans-2","Globe-12","Neptune P1"},0)),0,$I37),
 IF(AND(NOT(OR($A36="Annual Leave",$A37="Annual Leave")),$A37="Off day"),$I37,
  MAX(0,$I37-$V37)
  ))))+W37</f>
        <v/>
      </c>
      <c r="O37" s="18">
        <f>IF(AND(OR($A36="Holiday",$A37="Holiday"),
        ISNUMBER(MATCH(TRIM($B37),{"Phagwah","Good Friday","Easter Monday","Labour Day","Christmas","Eid ul Azha","Romans-2","Globe-12","Neptune P1"},0))),
   $I37,0)</f>
        <v/>
      </c>
      <c r="P37" s="18">
        <f>IF(OR($O$7="Canteen",$O$7="Head Office"),0,IF($I37&lt;=0,0,IF(AND($I36&lt;=0,OR(TRIM($J37)="Hebrews",TRIM($J37)="Romans",TRIM($J37)="Romans-2",TRIM($J37)="Globe",TRIM($J37)="Globe-12",TRIM($J37)="Neptune P1")),1,0)))</f>
        <v/>
      </c>
      <c r="Q37" s="19" t="n"/>
      <c r="R37" s="18">
        <f>IF(OR($O$7="Canteen",$O$7="Head Office"),0,IF(
  AND(
    SUMIFS(I:I, C:C, C37) &gt;= 8,
    COUNTIFS(C$14:C37, C37)=1,
    OR(
      TEXT(D37,"hh:mm:ss")="07:00:00",
      TEXT(D37,"hh:mm:ss")="15:00:00",
      TEXT(D37,"hh:mm:ss")="23:00:00",
      TEXT(D38,"hh:mm:ss")="07:00:00",
      TEXT(D38,"hh:mm:ss")="15:00:00",
      TEXT(D38,"hh:mm:ss")="23:00:00"
    )
  ),
  1,
  0
))</f>
        <v/>
      </c>
      <c r="S37" s="18">
        <f>IF(OR($A36="Annual Leave",$A37="Annual Leave"),IF(AND($A36&lt;&gt;"Annual Leave",$A37="Annual Leave"),8,0),0)</f>
        <v/>
      </c>
      <c r="T37" s="41" t="n"/>
      <c r="U37" s="178">
        <f>MAX(0,40-Y37)</f>
        <v/>
      </c>
      <c r="V37" s="337">
        <f>IF(OR($A37="Holiday",$A36="Holiday"),IF(OR($C37="",$D37=""),0,
 IF(OR($A36="Holiday",$A37="Holiday"),0,
 IF(AND(NOT(OR($A36="Annual Leave",$A37="Annual Leave")),$A37="Off day"),0,
  IF($I36+$I37&gt;=8,IF($I36&gt;=8,0,8-$I36),$I37)
  )))+IF(MOD(ROW(),2)=0,8,0),IF(OR($C37="",$D37=""),0,
 IF(OR($A36="Holiday",$A37="Holiday"),0,
 IF(AND(NOT(OR($A36="Annual Leave",$A37="Annual Leave")),$A37="Off day"),0,
  IF($I36+$I37&gt;=8,IF($I36&gt;=8,0,8-$I36),$I37)
  ))))</f>
        <v/>
      </c>
      <c r="W37" s="337">
        <f>MAX(0,V37-U37)</f>
        <v/>
      </c>
      <c r="X37" s="337">
        <f>IF(C37="","",C37-WEEKDAY(C37,1)+1)</f>
        <v/>
      </c>
      <c r="Y37" s="337">
        <f>SUMPRODUCT(($X$14:$X36=X37)*(($V$14:$V36)+($O$14:$O36)))+IF(X37=X14,$L$11,0)</f>
        <v/>
      </c>
      <c r="Z37" s="337" t="n"/>
      <c r="AA37" s="337" t="n"/>
      <c r="AB37" s="337" t="n"/>
      <c r="AC37" s="337" t="n"/>
      <c r="AD37" s="337" t="n"/>
      <c r="AE37" s="337" t="n"/>
      <c r="AF37" s="337" t="n"/>
    </row>
    <row r="38" ht="24" customHeight="1" s="328" thickBot="1">
      <c r="A38" s="248" t="inlineStr">
        <is>
          <t>On Day</t>
        </is>
      </c>
      <c r="B38" s="249" t="n"/>
      <c r="C38" s="123">
        <f>C36+1</f>
        <v/>
      </c>
      <c r="D38" s="78" t="n"/>
      <c r="E38" s="250">
        <f>IF(D38="", "",
 IF(D38=TIME(0,0,0), 0,
 IF(AND(D38&gt;=TIME(0,0,1), D38&lt;=TIME(2,0,0)), TIME(7,0,0),
 IF(AND(D38&gt;=TIME(5,0,0), D38&lt;=TIME(8,0,0)), TIME(12,0,0),
 IF(AND(D38&gt;TIME(8,0,0), D38&lt;=TIME(13,59,0)), TIME(15,0,0),
 IF(AND(D38&gt;=TIME(14,0,0), D38&lt;=TIME(17,59,0)), TIME(21,0,0),
 IF(AND(D38&gt;=TIME(18,0,0), D38&lt;=TIME(21,59,0)), TIME(0,0,0),
 IF(AND(D38&gt;=TIME(22,0,0), D38&lt;=TIME(23,59,59)), TIME(7,0,0), ""))))))))</f>
        <v/>
      </c>
      <c r="F38" s="251" t="n"/>
      <c r="G38" s="250">
        <f>E38</f>
        <v/>
      </c>
      <c r="H38" s="78" t="n"/>
      <c r="I38" s="79">
        <f>ROUND(IF(OR(D38="",E38="",E38=0),0,IF(H38="",MOD(E38-D38,1)*24,MOD(H38-D38,1)*24)),2)</f>
        <v/>
      </c>
      <c r="J38" s="252" t="n"/>
      <c r="K38" s="253" t="n"/>
      <c r="L38" s="231" t="n"/>
      <c r="M38" s="150">
        <f>MAX(0,V38-W38)</f>
        <v/>
      </c>
      <c r="N38" s="80">
        <f>(IF(OR($C38="",$D38=""),0,
 IF(OR($A38="Holiday",$A39="Holiday"),
    IF(ISNUMBER(MATCH(TRIM($B38),{"Phagwah","Good Friday","Easter Monday","Labour Day","Christmas","Eid ul Azha","Romans-2","Globe-12","Neptune P1"},0)),0,$I38),
 IF(AND(NOT(OR($A38="Annual Leave",$A39="Annual Leave")),$A38="Off day"),$I38,
  MAX(0,$I38-$V38)
  ))))+W38</f>
        <v/>
      </c>
      <c r="O38" s="80">
        <f>IF(AND(OR($A38="Holiday",$A39="Holiday"),
        ISNUMBER(MATCH(TRIM($B38),{"Phagwah","Good Friday","Easter Monday","Labour Day","Christmas","Eid ul Azha","Romans-2","Globe-12","Neptune P1"},0))),
   $I38,0)</f>
        <v/>
      </c>
      <c r="P38" s="80">
        <f>IF(OR($O$7="Canteen",$O$7="Head Office"),0,IF($I38&lt;=0,0,IF(OR(OR(TRIM($J38)="Hebrews",TRIM($J38)="Romans",TRIM($J38)="Romans-2",TRIM($J38)="Globe",TRIM($J38)="Globe-12",TRIM($J38)="Neptune P1"),AND($I39&gt;0,OR(TRIM($J39)="Hebrews",TRIM($J39)="Romans",TRIM($J39)="Romans-2",TRIM($J39)="Globe",TRIM($J39)="Globe-12",TRIM($J39)="Neptune P1"))),1,0)))</f>
        <v/>
      </c>
      <c r="Q38" s="81" t="n"/>
      <c r="R38" s="80">
        <f>IF(OR($O$7="Canteen",$O$7="Head Office"),0,IF(
  AND(
    SUMIFS(I:I, C:C, C38) &gt;= 8,
    COUNTIFS(C$14:C38, C38)=1,
    OR(
      TEXT(D38,"hh:mm:ss")="07:00:00",
      TEXT(D38,"hh:mm:ss")="15:00:00",
      TEXT(D38,"hh:mm:ss")="23:00:00",
      TEXT(D39,"hh:mm:ss")="07:00:00",
      TEXT(D39,"hh:mm:ss")="15:00:00",
      TEXT(D39,"hh:mm:ss")="23:00:00"
    )
  ),
  1,
  0
))</f>
        <v/>
      </c>
      <c r="S38" s="80">
        <f>IF(OR($A38="Annual Leave",$A39="Annual Leave"),IF($A38="Annual Leave",8,0),0)</f>
        <v/>
      </c>
      <c r="T38" s="82" t="n"/>
      <c r="U38" s="178">
        <f>MAX(0,40-Y38)</f>
        <v/>
      </c>
      <c r="V38" s="337">
        <f>IF(OR($A38="Holiday",$A39="Holiday"),IF(OR($C38="",$D38=""),0,
 IF(OR($A38="Holiday",$A39="Holiday"),0,
 IF(AND(NOT(OR($A38="Annual Leave",$A39="Annual Leave")),$A38="Off day"),0,
  IF($I38+$I39&gt;=8,IF($I38&gt;=8,8,$I38),$I38)
  )))+IF(MOD(ROW(),2)=0,8,0),IF(OR($C38="",$D38=""),0,
 IF(OR($A38="Holiday",$A39="Holiday"),0,
 IF(AND(NOT(OR($A38="Annual Leave",$A39="Annual Leave")),$A38="Off day"),0,
  IF($I38+$I39&gt;=8,IF($I38&gt;=8,8,$I38),$I38)
  ))))</f>
        <v/>
      </c>
      <c r="W38" s="337">
        <f>MAX(0,V38-U38)</f>
        <v/>
      </c>
      <c r="X38" s="337">
        <f>IF(C38="","",C38-WEEKDAY(C38,1)+1)</f>
        <v/>
      </c>
      <c r="Y38" s="337">
        <f>SUMPRODUCT(($X$14:$X37=X38)*(($V$14:$V37)+($O$14:$O37)))+IF(X38=X14,$L$11,0)</f>
        <v/>
      </c>
      <c r="Z38" s="337" t="n"/>
      <c r="AA38" s="337" t="n"/>
      <c r="AB38" s="337" t="n"/>
      <c r="AC38" s="337" t="n"/>
      <c r="AD38" s="337" t="n"/>
      <c r="AE38" s="337" t="n"/>
      <c r="AF38" s="337" t="n"/>
    </row>
    <row r="39" ht="24" customHeight="1" s="328" thickBot="1">
      <c r="A39" s="248" t="inlineStr">
        <is>
          <t>On Day</t>
        </is>
      </c>
      <c r="B39" s="254" t="n"/>
      <c r="C39" s="124">
        <f>C38</f>
        <v/>
      </c>
      <c r="D39" s="83" t="n"/>
      <c r="E39" s="255">
        <f>IF(D39="", "",
 IF(D39=TIME(0,0,0), 0,
 IF(AND(D39&gt;=TIME(0,0,1), D39&lt;=TIME(2,0,0)), TIME(7,0,0),
 IF(AND(D39&gt;=TIME(5,0,0), D39&lt;=TIME(8,0,0)), TIME(12,0,0),
 IF(AND(D39&gt;TIME(8,0,0), D39&lt;=TIME(13,59,0)), TIME(15,0,0),
 IF(AND(D39&gt;=TIME(14,0,0), D39&lt;=TIME(17,59,0)), TIME(21,0,0),
 IF(AND(D39&gt;=TIME(18,0,0), D39&lt;=TIME(21,59,0)), TIME(0,0,0),
 IF(AND(D39&gt;=TIME(22,0,0), D39&lt;=TIME(23,59,59)), TIME(7,0,0), ""))))))))</f>
        <v/>
      </c>
      <c r="F39" s="256" t="n"/>
      <c r="G39" s="255">
        <f>E39</f>
        <v/>
      </c>
      <c r="H39" s="83" t="n"/>
      <c r="I39" s="84">
        <f>ROUND(IF(OR(D39="",E39="",E39=0),0,IF(H39="",MOD(E39-D39,1)*24,MOD(H39-D39,1)*24)),2)</f>
        <v/>
      </c>
      <c r="J39" s="252" t="n"/>
      <c r="K39" s="253" t="n"/>
      <c r="L39" s="233" t="n"/>
      <c r="M39" s="150">
        <f>MAX(0,V39-W39)</f>
        <v/>
      </c>
      <c r="N39" s="85">
        <f>(IF(OR($C39="",$D39=""),0,
 IF(OR($A38="Holiday",$A39="Holiday"),
    IF(ISNUMBER(MATCH(TRIM($B39),{"Phagwah","Good Friday","Easter Monday","Labour Day","Christmas","Eid ul Azha","Romans-2","Globe-12","Neptune P1"},0)),0,$I39),
 IF(AND(NOT(OR($A38="Annual Leave",$A39="Annual Leave")),$A39="Off day"),$I39,
  MAX(0,$I39-$V39)
  ))))+W39</f>
        <v/>
      </c>
      <c r="O39" s="85">
        <f>IF(AND(OR($A38="Holiday",$A39="Holiday"),
        ISNUMBER(MATCH(TRIM($B39),{"Phagwah","Good Friday","Easter Monday","Labour Day","Christmas","Eid ul Azha","Romans-2","Globe-12","Neptune P1"},0))),
   $I39,0)</f>
        <v/>
      </c>
      <c r="P39" s="85">
        <f>IF(OR($O$7="Canteen",$O$7="Head Office"),0,IF($I39&lt;=0,0,IF(AND($I38&lt;=0,OR(TRIM($J39)="Hebrews",TRIM($J39)="Romans",TRIM($J39)="Romans-2",TRIM($J39)="Globe",TRIM($J39)="Globe-12",TRIM($J39)="Neptune P1")),1,0)))</f>
        <v/>
      </c>
      <c r="Q39" s="86" t="n"/>
      <c r="R39" s="85">
        <f>IF(OR($O$7="Canteen",$O$7="Head Office"),0,IF(
  AND(
    SUMIFS(I:I, C:C, C39) &gt;= 8,
    COUNTIFS(C$14:C39, C39)=1,
    OR(
      TEXT(D39,"hh:mm:ss")="07:00:00",
      TEXT(D39,"hh:mm:ss")="15:00:00",
      TEXT(D39,"hh:mm:ss")="23:00:00",
      TEXT(D40,"hh:mm:ss")="07:00:00",
      TEXT(D40,"hh:mm:ss")="15:00:00",
      TEXT(D40,"hh:mm:ss")="23:00:00"
    )
  ),
  1,
  0
))</f>
        <v/>
      </c>
      <c r="S39" s="85">
        <f>IF(OR($A38="Annual Leave",$A39="Annual Leave"),IF(AND($A38&lt;&gt;"Annual Leave",$A39="Annual Leave"),8,0),0)</f>
        <v/>
      </c>
      <c r="T39" s="87" t="n"/>
      <c r="U39" s="178">
        <f>MAX(0,40-Y39)</f>
        <v/>
      </c>
      <c r="V39" s="337">
        <f>IF(OR($A39="Holiday",$A38="Holiday"),IF(OR($C39="",$D39=""),0,
 IF(OR($A38="Holiday",$A39="Holiday"),0,
 IF(AND(NOT(OR($A38="Annual Leave",$A39="Annual Leave")),$A39="Off day"),0,
  IF($I38+$I39&gt;=8,IF($I38&gt;=8,0,8-$I38),$I39)
  )))+IF(MOD(ROW(),2)=0,8,0),IF(OR($C39="",$D39=""),0,
 IF(OR($A38="Holiday",$A39="Holiday"),0,
 IF(AND(NOT(OR($A38="Annual Leave",$A39="Annual Leave")),$A39="Off day"),0,
  IF($I38+$I39&gt;=8,IF($I38&gt;=8,0,8-$I38),$I39)
  ))))</f>
        <v/>
      </c>
      <c r="W39" s="337">
        <f>MAX(0,V39-U39)</f>
        <v/>
      </c>
      <c r="X39" s="337">
        <f>IF(C39="","",C39-WEEKDAY(C39,1)+1)</f>
        <v/>
      </c>
      <c r="Y39" s="337">
        <f>SUMPRODUCT(($X$14:$X38=X39)*(($V$14:$V38)+($O$14:$O38)))+IF(X39=X14,$L$11,0)</f>
        <v/>
      </c>
      <c r="Z39" s="337" t="n"/>
      <c r="AA39" s="337" t="n"/>
      <c r="AB39" s="337" t="n"/>
      <c r="AC39" s="337" t="n"/>
      <c r="AD39" s="337" t="n"/>
      <c r="AE39" s="337" t="n"/>
      <c r="AF39" s="337" t="n"/>
    </row>
    <row r="40" ht="24" customHeight="1" s="328" thickBot="1">
      <c r="A40" s="257" t="inlineStr">
        <is>
          <t>On Day</t>
        </is>
      </c>
      <c r="B40" s="258" t="n"/>
      <c r="C40" s="125">
        <f>C38+1</f>
        <v/>
      </c>
      <c r="D40" s="88" t="n"/>
      <c r="E40" s="259">
        <f>IF(D40="", "",
 IF(D40=TIME(0,0,0), 0,
 IF(AND(D40&gt;=TIME(0,0,1), D40&lt;=TIME(2,0,0)), TIME(7,0,0),
 IF(AND(D40&gt;=TIME(5,0,0), D40&lt;=TIME(8,0,0)), TIME(12,0,0),
 IF(AND(D40&gt;TIME(8,0,0), D40&lt;=TIME(13,59,0)), TIME(15,0,0),
 IF(AND(D40&gt;=TIME(14,0,0), D40&lt;=TIME(17,59,0)), TIME(21,0,0),
 IF(AND(D40&gt;=TIME(18,0,0), D40&lt;=TIME(21,59,0)), TIME(0,0,0),
 IF(AND(D40&gt;=TIME(22,0,0), D40&lt;=TIME(23,59,59)), TIME(7,0,0), ""))))))))</f>
        <v/>
      </c>
      <c r="F40" s="260" t="n"/>
      <c r="G40" s="259">
        <f>E40</f>
        <v/>
      </c>
      <c r="H40" s="88" t="n"/>
      <c r="I40" s="126">
        <f>ROUND(IF(OR(D40="",E40="",E40=0),0,IF(H40="",MOD(E40-D40,1)*24,MOD(H40-D40,1)*24)),2)</f>
        <v/>
      </c>
      <c r="J40" s="261" t="n"/>
      <c r="K40" s="262" t="n"/>
      <c r="L40" s="240" t="n"/>
      <c r="M40" s="151">
        <f>MAX(0,V40-W40)</f>
        <v/>
      </c>
      <c r="N40" s="89">
        <f>(IF(OR($C40="",$D40=""),0,
 IF(OR($A40="Holiday",$A41="Holiday"),
    IF(ISNUMBER(MATCH(TRIM($B40),{"Phagwah","Good Friday","Easter Monday","Labour Day","Christmas","Eid ul Azha","Romans-2","Globe-12","Neptune P1"},0)),0,$I40),
 IF(AND(NOT(OR($A40="Annual Leave",$A41="Annual Leave")),$A40="Off day"),$I40,
  MAX(0,$I40-$V40)
  ))))+W40</f>
        <v/>
      </c>
      <c r="O40" s="89">
        <f>IF(AND(OR($A40="Holiday",$A41="Holiday"),
        ISNUMBER(MATCH(TRIM($B40),{"Phagwah","Good Friday","Easter Monday","Labour Day","Christmas","Eid ul Azha","Romans-2","Globe-12","Neptune P1"},0))),
   $I40,0)</f>
        <v/>
      </c>
      <c r="P40" s="89">
        <f>IF(OR($O$7="Canteen",$O$7="Head Office"),0,IF($I40&lt;=0,0,IF(OR(OR(TRIM($J40)="Hebrews",TRIM($J40)="Romans",TRIM($J40)="Romans-2",TRIM($J40)="Globe",TRIM($J40)="Globe-12",TRIM($J40)="Neptune P1"),AND($I41&gt;0,OR(TRIM($J41)="Hebrews",TRIM($J41)="Romans",TRIM($J41)="Romans-2",TRIM($J41)="Globe",TRIM($J41)="Globe-12",TRIM($J41)="Neptune P1"))),1,0)))</f>
        <v/>
      </c>
      <c r="Q40" s="90" t="n"/>
      <c r="R40" s="89">
        <f>IF(OR($O$7="Canteen",$O$7="Head Office"),0,IF(
  AND(
    SUMIFS(I:I, C:C, C40) &gt;= 8,
    COUNTIFS(C$14:C40, C40)=1,
    OR(
      TEXT(D40,"hh:mm:ss")="07:00:00",
      TEXT(D40,"hh:mm:ss")="15:00:00",
      TEXT(D40,"hh:mm:ss")="23:00:00",
      TEXT(D41,"hh:mm:ss")="07:00:00",
      TEXT(D41,"hh:mm:ss")="15:00:00",
      TEXT(D41,"hh:mm:ss")="23:00:00"
    )
  ),
  1,
  0
))</f>
        <v/>
      </c>
      <c r="S40" s="89">
        <f>IF(OR($A40="Annual Leave",$A41="Annual Leave"),IF($A40="Annual Leave",8,0),0)</f>
        <v/>
      </c>
      <c r="T40" s="127" t="n"/>
      <c r="U40" s="178">
        <f>MAX(0,40-Y40)</f>
        <v/>
      </c>
      <c r="V40" s="337">
        <f>IF(OR($A40="Holiday",$A41="Holiday"),IF(OR($C40="",$D40=""),0,
 IF(OR($A40="Holiday",$A41="Holiday"),0,
 IF(AND(NOT(OR($A40="Annual Leave",$A41="Annual Leave")),$A40="Off day"),0,
  IF($I40+$I41&gt;=8,IF($I40&gt;=8,8,$I40),$I40)
  )))+IF(MOD(ROW(),2)=0,8,0),IF(OR($C40="",$D40=""),0,
 IF(OR($A40="Holiday",$A41="Holiday"),0,
 IF(AND(NOT(OR($A40="Annual Leave",$A41="Annual Leave")),$A40="Off day"),0,
  IF($I40+$I41&gt;=8,IF($I40&gt;=8,8,$I40),$I40)
  ))))</f>
        <v/>
      </c>
      <c r="W40" s="337">
        <f>MAX(0,V40-U40)</f>
        <v/>
      </c>
      <c r="X40" s="337">
        <f>IF(C40="","",C40-WEEKDAY(C40,1)+1)</f>
        <v/>
      </c>
      <c r="Y40" s="337">
        <f>SUMPRODUCT(($X$14:$X39=X40)*(($V$14:$V39)+($O$14:$O39)))+IF(X40=X14,$L$11,0)</f>
        <v/>
      </c>
      <c r="Z40" s="337" t="n"/>
      <c r="AA40" s="337" t="n"/>
      <c r="AB40" s="337" t="n"/>
      <c r="AC40" s="337" t="n"/>
      <c r="AD40" s="337" t="n"/>
      <c r="AE40" s="337" t="n"/>
      <c r="AF40" s="337" t="n"/>
    </row>
    <row r="41" ht="24" customHeight="1" s="328" thickBot="1">
      <c r="A41" s="257" t="inlineStr">
        <is>
          <t>On Day</t>
        </is>
      </c>
      <c r="B41" s="263" t="n"/>
      <c r="C41" s="125">
        <f>C40</f>
        <v/>
      </c>
      <c r="D41" s="91" t="n"/>
      <c r="E41" s="264">
        <f>IF(D41="", "",
 IF(D41=TIME(0,0,0), 0,
 IF(AND(D41&gt;=TIME(0,0,1), D41&lt;=TIME(2,0,0)), TIME(7,0,0),
 IF(AND(D41&gt;=TIME(5,0,0), D41&lt;=TIME(8,0,0)), TIME(12,0,0),
 IF(AND(D41&gt;TIME(8,0,0), D41&lt;=TIME(13,59,0)), TIME(15,0,0),
 IF(AND(D41&gt;=TIME(14,0,0), D41&lt;=TIME(17,59,0)), TIME(21,0,0),
 IF(AND(D41&gt;=TIME(18,0,0), D41&lt;=TIME(21,59,0)), TIME(0,0,0),
 IF(AND(D41&gt;=TIME(22,0,0), D41&lt;=TIME(23,59,59)), TIME(7,0,0), ""))))))))</f>
        <v/>
      </c>
      <c r="F41" s="260" t="n"/>
      <c r="G41" s="264">
        <f>E41</f>
        <v/>
      </c>
      <c r="H41" s="91" t="n"/>
      <c r="I41" s="126">
        <f>ROUND(IF(OR(D41="",E41="",E41=0),0,IF(H41="",MOD(E41-D41,1)*24,MOD(H41-D41,1)*24)),2)</f>
        <v/>
      </c>
      <c r="J41" s="265" t="n"/>
      <c r="K41" s="262" t="n"/>
      <c r="L41" s="240" t="n"/>
      <c r="M41" s="151">
        <f>MAX(0,V41-W41)</f>
        <v/>
      </c>
      <c r="N41" s="92">
        <f>(IF(OR($C41="",$D41=""),0,
 IF(OR($A40="Holiday",$A41="Holiday"),
    IF(ISNUMBER(MATCH(TRIM($B41),{"Phagwah","Good Friday","Easter Monday","Labour Day","Christmas","Eid ul Azha","Romans-2","Globe-12","Neptune P1"},0)),0,$I41),
 IF(AND(NOT(OR($A40="Annual Leave",$A41="Annual Leave")),$A41="Off day"),$I41,
  MAX(0,$I41-$V41)
  ))))+W41</f>
        <v/>
      </c>
      <c r="O41" s="92">
        <f>IF(AND(OR($A40="Holiday",$A41="Holiday"),
        ISNUMBER(MATCH(TRIM($B41),{"Phagwah","Good Friday","Easter Monday","Labour Day","Christmas","Eid ul Azha","Romans-2","Globe-12","Neptune P1"},0))),
   $I41,0)</f>
        <v/>
      </c>
      <c r="P41" s="92">
        <f>IF(OR($O$7="Canteen",$O$7="Head Office"),0,IF($I41&lt;=0,0,IF(AND($I40&lt;=0,OR(TRIM($J41)="Hebrews",TRIM($J41)="Romans",TRIM($J41)="Romans-2",TRIM($J41)="Globe",TRIM($J41)="Globe-12",TRIM($J41)="Neptune P1")),1,0)))</f>
        <v/>
      </c>
      <c r="Q41" s="93" t="n"/>
      <c r="R41" s="92">
        <f>IF(OR($O$7="Canteen",$O$7="Head Office"),0,IF(
  AND(
    SUMIFS(I:I, C:C, C41) &gt;= 8,
    COUNTIFS(C$14:C41, C41)=1,
    OR(
      TEXT(D41,"hh:mm:ss")="07:00:00",
      TEXT(D41,"hh:mm:ss")="15:00:00",
      TEXT(D41,"hh:mm:ss")="23:00:00",
      TEXT(D42,"hh:mm:ss")="07:00:00",
      TEXT(D42,"hh:mm:ss")="15:00:00",
      TEXT(D42,"hh:mm:ss")="23:00:00"
    )
  ),
  1,
  0
))</f>
        <v/>
      </c>
      <c r="S41" s="92">
        <f>IF(OR($A40="Annual Leave",$A41="Annual Leave"),IF(AND($A40&lt;&gt;"Annual Leave",$A41="Annual Leave"),8,0),0)</f>
        <v/>
      </c>
      <c r="T41" s="128" t="n"/>
      <c r="U41" s="178">
        <f>MAX(0,40-Y41)</f>
        <v/>
      </c>
      <c r="V41" s="337">
        <f>IF(OR($A41="Holiday",$A40="Holiday"),IF(OR($C41="",$D41=""),0,
 IF(OR($A40="Holiday",$A41="Holiday"),0,
 IF(AND(NOT(OR($A40="Annual Leave",$A41="Annual Leave")),$A41="Off day"),0,
  IF($I40+$I41&gt;=8,IF($I40&gt;=8,0,8-$I40),$I41)
  )))+IF(MOD(ROW(),2)=0,8,0),IF(OR($C41="",$D41=""),0,
 IF(OR($A40="Holiday",$A41="Holiday"),0,
 IF(AND(NOT(OR($A40="Annual Leave",$A41="Annual Leave")),$A41="Off day"),0,
  IF($I40+$I41&gt;=8,IF($I40&gt;=8,0,8-$I40),$I41)
  ))))</f>
        <v/>
      </c>
      <c r="W41" s="337">
        <f>MAX(0,V41-U41)</f>
        <v/>
      </c>
      <c r="X41" s="337">
        <f>IF(C41="","",C41-WEEKDAY(C41,1)+1)</f>
        <v/>
      </c>
      <c r="Y41" s="337">
        <f>SUMPRODUCT(($X$14:$X40=X41)*(($V$14:$V40)+($O$14:$O40)))+IF(X41=X14,$L$11,0)</f>
        <v/>
      </c>
      <c r="Z41" s="337" t="n"/>
      <c r="AA41" s="337" t="n"/>
      <c r="AB41" s="337" t="n"/>
      <c r="AC41" s="337" t="n"/>
      <c r="AD41" s="337" t="n"/>
      <c r="AE41" s="337" t="n"/>
      <c r="AF41" s="337" t="n"/>
    </row>
    <row r="42" ht="24" customHeight="1" s="328" thickBot="1">
      <c r="A42" s="266" t="inlineStr">
        <is>
          <t>On Day</t>
        </is>
      </c>
      <c r="B42" s="267" t="n"/>
      <c r="C42" s="129">
        <f>C40+1</f>
        <v/>
      </c>
      <c r="D42" s="94" t="n"/>
      <c r="E42" s="268">
        <f>IF(D42="", "",
 IF(D42=TIME(0,0,0), 0,
 IF(AND(D42&gt;=TIME(0,0,1), D42&lt;=TIME(2,0,0)), TIME(7,0,0),
 IF(AND(D42&gt;=TIME(5,0,0), D42&lt;=TIME(8,0,0)), TIME(12,0,0),
 IF(AND(D42&gt;TIME(8,0,0), D42&lt;=TIME(13,59,0)), TIME(15,0,0),
 IF(AND(D42&gt;=TIME(14,0,0), D42&lt;=TIME(17,59,0)), TIME(21,0,0),
 IF(AND(D42&gt;=TIME(18,0,0), D42&lt;=TIME(21,59,0)), TIME(0,0,0),
 IF(AND(D42&gt;=TIME(22,0,0), D42&lt;=TIME(23,59,59)), TIME(7,0,0), ""))))))))</f>
        <v/>
      </c>
      <c r="F42" s="269" t="n"/>
      <c r="G42" s="268">
        <f>E42</f>
        <v/>
      </c>
      <c r="H42" s="94" t="n"/>
      <c r="I42" s="26">
        <f>ROUND(IF(OR(D42="",E42="",E42=0),0,IF(H42="",MOD(E42-D42,1)*24,MOD(H42-D42,1)*24)),2)</f>
        <v/>
      </c>
      <c r="J42" s="270" t="n"/>
      <c r="K42" s="271" t="n"/>
      <c r="L42" s="231" t="n"/>
      <c r="M42" s="152">
        <f>MAX(0,V42-W42)</f>
        <v/>
      </c>
      <c r="N42" s="27">
        <f>(IF(OR($C42="",$D42=""),0,
 IF(OR($A42="Holiday",$A43="Holiday"),
    IF(ISNUMBER(MATCH(TRIM($B42),{"Phagwah","Good Friday","Easter Monday","Labour Day","Christmas","Eid ul Azha","Romans-2","Globe-12","Neptune P1"},0)),0,$I42),
 IF(AND(NOT(OR($A42="Annual Leave",$A43="Annual Leave")),$A42="Off day"),$I42,
  MAX(0,$I42-$V42)
  ))))+W42</f>
        <v/>
      </c>
      <c r="O42" s="272">
        <f>IF(AND(OR($A42="Holiday",$A43="Holiday"),
        ISNUMBER(MATCH(TRIM($B42),{"Phagwah","Good Friday","Easter Monday","Labour Day","Christmas","Eid ul Azha","Romans-2","Globe-12","Neptune P1"},0))),
   $I42,0)</f>
        <v/>
      </c>
      <c r="P42" s="27">
        <f>IF(OR($O$7="Canteen",$O$7="Head Office"),0,IF($I42&lt;=0,0,IF(OR(OR(TRIM($J42)="Hebrews",TRIM($J42)="Romans",TRIM($J42)="Romans-2",TRIM($J42)="Globe",TRIM($J42)="Globe-12",TRIM($J42)="Neptune P1"),AND($I43&gt;0,OR(TRIM($J43)="Hebrews",TRIM($J43)="Romans",TRIM($J43)="Romans-2",TRIM($J43)="Globe",TRIM($J43)="Globe-12",TRIM($J43)="Neptune P1"))),1,0)))</f>
        <v/>
      </c>
      <c r="Q42" s="95" t="n"/>
      <c r="R42" s="272">
        <f>IF(OR($O$7="Canteen",$O$7="Head Office"),0,IF(
  AND(
    SUMIFS(I:I, C:C, C42) &gt;= 8,
    COUNTIFS(C$14:C42, C42)=1,
    OR(
      TEXT(D42,"hh:mm:ss")="07:00:00",
      TEXT(D42,"hh:mm:ss")="15:00:00",
      TEXT(D42,"hh:mm:ss")="23:00:00",
      TEXT(D43,"hh:mm:ss")="07:00:00",
      TEXT(D43,"hh:mm:ss")="15:00:00",
      TEXT(D43,"hh:mm:ss")="23:00:00"
    )
  ),
  1,
  0
))</f>
        <v/>
      </c>
      <c r="S42" s="272">
        <f>IF(OR($A42="Annual Leave",$A43="Annual Leave"),IF($A42="Annual Leave",8,0),0)</f>
        <v/>
      </c>
      <c r="T42" s="96" t="n"/>
      <c r="U42" s="178">
        <f>MAX(0,40-Y42)</f>
        <v/>
      </c>
      <c r="V42" s="337">
        <f>IF(OR($A42="Holiday",$A43="Holiday"),IF(OR($C42="",$D42=""),0,
 IF(OR($A42="Holiday",$A43="Holiday"),0,
 IF(AND(NOT(OR($A42="Annual Leave",$A43="Annual Leave")),$A42="Off day"),0,
  IF($I42+$I43&gt;=8,IF($I42&gt;=8,8,$I42),$I42)
  )))+IF(MOD(ROW(),2)=0,8,0),IF(OR($C42="",$D42=""),0,
 IF(OR($A42="Holiday",$A43="Holiday"),0,
 IF(AND(NOT(OR($A42="Annual Leave",$A43="Annual Leave")),$A42="Off day"),0,
  IF($I42+$I43&gt;=8,IF($I42&gt;=8,8,$I42),$I42)
  ))))</f>
        <v/>
      </c>
      <c r="W42" s="337">
        <f>MAX(0,V42-U42)</f>
        <v/>
      </c>
      <c r="X42" s="337">
        <f>IF(C42="","",C42-WEEKDAY(C42,1)+1)</f>
        <v/>
      </c>
      <c r="Y42" s="337">
        <f>SUMPRODUCT(($X$14:$X41=X42)*(($V$14:$V41)+($O$14:$O41)))+IF(X42=X14,$L$11,0)</f>
        <v/>
      </c>
      <c r="Z42" s="337" t="n"/>
      <c r="AA42" s="337" t="n"/>
      <c r="AB42" s="337" t="n"/>
      <c r="AC42" s="337" t="n"/>
      <c r="AD42" s="337" t="n"/>
      <c r="AE42" s="337" t="n"/>
      <c r="AF42" s="337" t="n"/>
    </row>
    <row r="43" ht="24" customHeight="1" s="328" thickBot="1">
      <c r="A43" s="266" t="inlineStr">
        <is>
          <t>On Day</t>
        </is>
      </c>
      <c r="B43" s="273" t="n"/>
      <c r="C43" s="130">
        <f>C42</f>
        <v/>
      </c>
      <c r="D43" s="28" t="n"/>
      <c r="E43" s="274">
        <f>IF(D43="", "",
 IF(D43=TIME(0,0,0), 0,
 IF(AND(D43&gt;=TIME(0,0,1), D43&lt;=TIME(2,0,0)), TIME(7,0,0),
 IF(AND(D43&gt;=TIME(5,0,0), D43&lt;=TIME(8,0,0)), TIME(12,0,0),
 IF(AND(D43&gt;TIME(8,0,0), D43&lt;=TIME(13,59,0)), TIME(15,0,0),
 IF(AND(D43&gt;=TIME(14,0,0), D43&lt;=TIME(17,59,0)), TIME(21,0,0),
 IF(AND(D43&gt;=TIME(18,0,0), D43&lt;=TIME(21,59,0)), TIME(0,0,0),
 IF(AND(D43&gt;=TIME(22,0,0), D43&lt;=TIME(23,59,59)), TIME(7,0,0), ""))))))))</f>
        <v/>
      </c>
      <c r="F43" s="275" t="n"/>
      <c r="G43" s="274">
        <f>E43</f>
        <v/>
      </c>
      <c r="H43" s="28" t="n"/>
      <c r="I43" s="29">
        <f>ROUND(IF(OR(D43="",E43="",E43=0),0,IF(H43="",MOD(E43-D43,1)*24,MOD(H43-D43,1)*24)),2)</f>
        <v/>
      </c>
      <c r="J43" s="270" t="n"/>
      <c r="K43" s="271" t="n"/>
      <c r="L43" s="233" t="n"/>
      <c r="M43" s="152">
        <f>MAX(0,V43-W43)</f>
        <v/>
      </c>
      <c r="N43" s="30">
        <f>(IF(OR($C43="",$D43=""),0,
 IF(OR($A42="Holiday",$A43="Holiday"),
    IF(ISNUMBER(MATCH(TRIM($B43),{"Phagwah","Good Friday","Easter Monday","Labour Day","Christmas","Eid ul Azha","Romans-2","Globe-12","Neptune P1"},0)),0,$I43),
 IF(AND(NOT(OR($A42="Annual Leave",$A43="Annual Leave")),$A43="Off day"),$I43,
  MAX(0,$I43-$V43)
  ))))+W43</f>
        <v/>
      </c>
      <c r="O43" s="30">
        <f>IF(AND(OR($A42="Holiday",$A43="Holiday"),
        ISNUMBER(MATCH(TRIM($B43),{"Phagwah","Good Friday","Easter Monday","Labour Day","Christmas","Eid ul Azha","Romans-2","Globe-12","Neptune P1"},0))),
   $I43,0)</f>
        <v/>
      </c>
      <c r="P43" s="30">
        <f>IF(OR($O$7="Canteen",$O$7="Head Office"),0,IF($I43&lt;=0,0,IF(AND($I42&lt;=0,OR(TRIM($J43)="Hebrews",TRIM($J43)="Romans",TRIM($J43)="Romans-2",TRIM($J43)="Globe",TRIM($J43)="Globe-12",TRIM($J43)="Neptune P1")),1,0)))</f>
        <v/>
      </c>
      <c r="Q43" s="31" t="n"/>
      <c r="R43" s="30">
        <f>IF(OR($O$7="Canteen",$O$7="Head Office"),0,IF(
  AND(
    SUMIFS(I:I, C:C, C43) &gt;= 8,
    COUNTIFS(C$14:C43, C43)=1,
    OR(
      TEXT(D43,"hh:mm:ss")="07:00:00",
      TEXT(D43,"hh:mm:ss")="15:00:00",
      TEXT(D43,"hh:mm:ss")="23:00:00",
      TEXT(D49,"hh:mm:ss")="07:00:00",
      TEXT(D49,"hh:mm:ss")="15:00:00",
      TEXT(D49,"hh:mm:ss")="23:00:00"
    )
  ),
  1,
  0
))</f>
        <v/>
      </c>
      <c r="S43" s="30">
        <f>IF(OR($A42="Annual Leave",$A43="Annual Leave"),IF(AND($A42&lt;&gt;"Annual Leave",$A43="Annual Leave"),8,0),0)</f>
        <v/>
      </c>
      <c r="T43" s="32" t="n"/>
      <c r="U43" s="178">
        <f>MAX(0,40-Y43)</f>
        <v/>
      </c>
      <c r="V43" s="337">
        <f>IF(OR($A43="Holiday",$A42="Holiday"),IF(OR($C43="",$D43=""),0,
 IF(OR($A42="Holiday",$A43="Holiday"),0,
 IF(AND(NOT(OR($A42="Annual Leave",$A43="Annual Leave")),$A43="Off day"),0,
  IF($I42+$I43&gt;=8,IF($I42&gt;=8,0,8-$I42),$I43)
  )))+IF(MOD(ROW(),2)=0,8,0),IF(OR($C43="",$D43=""),0,
 IF(OR($A42="Holiday",$A43="Holiday"),0,
 IF(AND(NOT(OR($A42="Annual Leave",$A43="Annual Leave")),$A43="Off day"),0,
  IF($I42+$I43&gt;=8,IF($I42&gt;=8,0,8-$I42),$I43)
  ))))</f>
        <v/>
      </c>
      <c r="W43" s="337">
        <f>MAX(0,V43-U43)</f>
        <v/>
      </c>
      <c r="X43" s="337">
        <f>IF(C43="","",C43-WEEKDAY(C43,1)+1)</f>
        <v/>
      </c>
      <c r="Y43" s="337">
        <f>SUMPRODUCT(($X$14:$X42=X43)*(($V$14:$V42)+($O$14:$O42)))+IF(X43=X14,$L$11,0)</f>
        <v/>
      </c>
      <c r="Z43" s="337" t="n"/>
      <c r="AA43" s="337" t="n"/>
      <c r="AB43" s="337" t="n"/>
      <c r="AC43" s="337" t="n"/>
      <c r="AD43" s="337" t="n"/>
      <c r="AE43" s="337" t="n"/>
      <c r="AF43" s="337" t="n"/>
    </row>
    <row r="44" ht="24" customHeight="1" s="328" thickBot="1">
      <c r="A44" s="224" t="n"/>
      <c r="B44" s="224" t="n"/>
      <c r="C44" s="276" t="n"/>
      <c r="D44" s="131" t="n"/>
      <c r="E44" s="131">
        <f>IF(D44="", "",
 IF(D44=TIME(0,0,0), 0,
 IF(AND(D44&gt;=TIME(0,0,1), D44&lt;=TIME(2,0,0)), TIME(7,0,0),
 IF(AND(D44&gt;=TIME(5,0,0), D44&lt;=TIME(8,0,0)), TIME(12,0,0),
 IF(AND(D44&gt;TIME(8,0,0), D44&lt;=TIME(13,59,0)), TIME(15,0,0),
 IF(AND(D44&gt;=TIME(14,0,0), D44&lt;=TIME(17,59,0)), TIME(21,0,0),
 IF(AND(D44&gt;=TIME(18,0,0), D44&lt;=TIME(21,59,0)), TIME(0,0,0),
 IF(AND(D44&gt;=TIME(22,0,0), D44&lt;=TIME(23,59,59)), TIME(7,0,0), ""))))))))</f>
        <v/>
      </c>
      <c r="F44" s="277" t="n"/>
      <c r="G44" s="131" t="n"/>
      <c r="H44" s="131" t="n"/>
      <c r="I44" s="278" t="n"/>
      <c r="J44" s="278" t="n"/>
      <c r="K44" s="278" t="n"/>
      <c r="L44" s="278" t="n"/>
      <c r="M44" s="132">
        <f>MAX(0,V44-W44)</f>
        <v/>
      </c>
      <c r="N44" s="133">
        <f>(IF(OR($C44="",$D44=""),0,
 IF(OR($A44="Holiday",$A45="Holiday"),
    IF(ISNUMBER(MATCH(TRIM($B44),{"Phagwah","Good Friday","Easter Monday","Labour Day","Christmas","Eid ul Azha","Romans-2","Globe-12","Neptune P1"},0)),0,$I44),
 IF(AND(NOT(OR($A44="Annual Leave",$A45="Annual Leave")),$A44="Off day"),$I44,
  MAX(0,$I44-$V44)
  ))))+W44</f>
        <v/>
      </c>
      <c r="O44" s="133">
        <f>IF(AND(OR($A44="Holiday",$A45="Holiday"),
        ISNUMBER(MATCH(TRIM($B44),{"Phagwah","Good Friday","Easter Monday","Labour Day","Christmas","Eid ul Azha","Romans-2","Globe-12","Neptune P1"},0))),
   $I44,0)</f>
        <v/>
      </c>
      <c r="P44" s="133">
        <f>IF(OR($O$7="Canteen",$O$7="Head Office"),0,IF($I44&lt;=0,0,IF(OR(OR(TRIM($J44)="Hebrews",TRIM($J44)="Romans",TRIM($J44)="Romans-2",TRIM($J44)="Globe",TRIM($J44)="Globe-12",TRIM($J44)="Neptune P1"),AND($I45&gt;0,OR(TRIM($J45)="Hebrews",TRIM($J45)="Romans",TRIM($J45)="Romans-2",TRIM($J45)="Globe",TRIM($J45)="Globe-12",TRIM($J45)="Neptune P1"))),1,0)))</f>
        <v/>
      </c>
      <c r="Q44" s="134" t="n"/>
      <c r="R44" s="134" t="n"/>
      <c r="S44" s="133">
        <f>IF(OR($A44="Annual Leave",$A45="Annual Leave"),IF($A44="Annual Leave",8,0),0)</f>
        <v/>
      </c>
      <c r="T44" s="135" t="n"/>
      <c r="U44" s="178">
        <f>MAX(0,40-Y44)</f>
        <v/>
      </c>
      <c r="V44" s="337">
        <f>IF(OR($A44="Holiday",$A45="Holiday"),IF(OR($C44="",$D44=""),0,
 IF(OR($A44="Holiday",$A45="Holiday"),0,
 IF(AND(NOT(OR($A44="Annual Leave",$A45="Annual Leave")),$A44="Off day"),0,
  IF($I44+$I45&gt;=8,IF($I44&gt;=8,8,$I44),$I44)
  )))+IF(MOD(ROW(),2)=0,8,0),IF(OR($C44="",$D44=""),0,
 IF(OR($A44="Holiday",$A45="Holiday"),0,
 IF(AND(NOT(OR($A44="Annual Leave",$A45="Annual Leave")),$A44="Off day"),0,
  IF($I44+$I45&gt;=8,IF($I44&gt;=8,8,$I44),$I44)
  ))))</f>
        <v/>
      </c>
      <c r="W44" s="337">
        <f>MAX(0,V44-U44)</f>
        <v/>
      </c>
      <c r="X44" s="337">
        <f>IF(C44="","",C44-WEEKDAY(C44,1)+1)</f>
        <v/>
      </c>
      <c r="Y44" s="337">
        <f>SUMPRODUCT(($X$14:$X43=X44)*(($V$14:$V43)+($O$14:$O43)))+IF(X44=X14,$L$11,0)</f>
        <v/>
      </c>
      <c r="Z44" s="337" t="n"/>
      <c r="AA44" s="337" t="n"/>
      <c r="AB44" s="337" t="n"/>
      <c r="AC44" s="337" t="n"/>
      <c r="AD44" s="337" t="n"/>
      <c r="AE44" s="337" t="n"/>
      <c r="AF44" s="337" t="n"/>
    </row>
    <row r="45" ht="24" customHeight="1" s="328" thickBot="1">
      <c r="A45" s="192" t="inlineStr">
        <is>
          <t>On Day</t>
        </is>
      </c>
      <c r="B45" s="279" t="n"/>
      <c r="C45" s="136">
        <f>C42+1</f>
        <v/>
      </c>
      <c r="D45" s="7" t="n"/>
      <c r="E45" s="280">
        <f>IF(D45="", "",
 IF(D45=TIME(0,0,0), 0,
 IF(AND(D45&gt;=TIME(0,0,1), D45&lt;=TIME(2,0,0)), TIME(7,0,0),
 IF(AND(D45&gt;=TIME(5,0,0), D45&lt;=TIME(8,0,0)), TIME(12,0,0),
 IF(AND(D45&gt;TIME(8,0,0), D45&lt;=TIME(13,59,0)), TIME(15,0,0),
 IF(AND(D45&gt;=TIME(14,0,0), D45&lt;=TIME(17,59,0)), TIME(21,0,0),
 IF(AND(D45&gt;=TIME(18,0,0), D45&lt;=TIME(21,59,0)), TIME(0,0,0),
 IF(AND(D45&gt;=TIME(22,0,0), D45&lt;=TIME(23,59,59)), TIME(7,0,0), ""))))))))</f>
        <v/>
      </c>
      <c r="F45" s="281" t="n"/>
      <c r="G45" s="280">
        <f>E45</f>
        <v/>
      </c>
      <c r="H45" s="7" t="n"/>
      <c r="I45" s="40">
        <f>ROUND(IF(OR(D45="",E45="",E45=0),0,IF(H45="",MOD(E45-D45,1)*24,MOD(H45-D45,1)*24)),2)</f>
        <v/>
      </c>
      <c r="J45" s="282" t="n"/>
      <c r="K45" s="197" t="n"/>
      <c r="L45" s="231" t="n"/>
      <c r="M45" s="145">
        <f>MAX(0,V45-W45)</f>
        <v/>
      </c>
      <c r="N45" s="8">
        <f>(IF(OR($C45="",$D45=""),0,
 IF(OR($A44="Holiday",$A45="Holiday"),
    IF(ISNUMBER(MATCH(TRIM($B45),{"Phagwah","Good Friday","Easter Monday","Labour Day","Christmas","Eid ul Azha","Romans-2","Globe-12","Neptune P1"},0)),0,$I45),
 IF(AND(NOT(OR($A44="Annual Leave",$A45="Annual Leave")),$A45="Off day"),$I45,
  MAX(0,$I45-$V45)
  ))))+W45</f>
        <v/>
      </c>
      <c r="O45" s="8">
        <f>IF(AND(OR($A44="Holiday",$A45="Holiday"),
        ISNUMBER(MATCH(TRIM($B45),{"Phagwah","Good Friday","Easter Monday","Labour Day","Christmas","Eid ul Azha","Romans-2","Globe-12","Neptune P1"},0))),
   $I45,0)</f>
        <v/>
      </c>
      <c r="P45" s="8">
        <f>IF(OR($O$7="Canteen",$O$7="Head Office"),0,IF($I45&lt;=0,0,IF(AND($I44&lt;=0,OR(TRIM($J45)="Hebrews",TRIM($J45)="Romans",TRIM($J45)="Romans-2",TRIM($J45)="Globe",TRIM($J45)="Globe-12",TRIM($J45)="Neptune P1")),1,0)))</f>
        <v/>
      </c>
      <c r="Q45" s="97" t="n"/>
      <c r="R45" s="8">
        <f>IF(OR($O$7="Canteen",$O$7="Head Office"),0,IF(
  AND(
    SUMIFS(I:I, C:C, C45) &gt;= 8,
    COUNTIFS(C$14:C45, C45)=1,
    OR(
      TEXT(D45,"hh:mm:ss")="07:00:00",
      TEXT(D45,"hh:mm:ss")="15:00:00",
      TEXT(D45,"hh:mm:ss")="23:00:00",
      TEXT(D46,"hh:mm:ss")="07:00:00",
      TEXT(D46,"hh:mm:ss")="15:00:00",
      TEXT(D46,"hh:mm:ss")="23:00:00"
    )
  ),
  1,
  0
))</f>
        <v/>
      </c>
      <c r="S45" s="8">
        <f>IF(OR($A44="Annual Leave",$A45="Annual Leave"),IF(AND($A44&lt;&gt;"Annual Leave",$A45="Annual Leave"),8,0),0)</f>
        <v/>
      </c>
      <c r="T45" s="137" t="n"/>
      <c r="U45" s="178">
        <f>MAX(0,40-Y45)</f>
        <v/>
      </c>
      <c r="V45" s="337">
        <f>IF(OR($A45="Holiday",$A44="Holiday"),IF(OR($C45="",$D45=""),0,
 IF(OR($A44="Holiday",$A45="Holiday"),0,
 IF(AND(NOT(OR($A44="Annual Leave",$A45="Annual Leave")),$A45="Off day"),0,
  IF($I44+$I45&gt;=8,IF($I44&gt;=8,0,8-$I44),$I45)
  )))+IF(MOD(ROW(),2)=0,8,0),IF(OR($C45="",$D45=""),0,
 IF(OR($A44="Holiday",$A45="Holiday"),0,
 IF(AND(NOT(OR($A44="Annual Leave",$A45="Annual Leave")),$A45="Off day"),0,
  IF($I44+$I45&gt;=8,IF($I44&gt;=8,0,8-$I44),$I45)
  ))))</f>
        <v/>
      </c>
      <c r="W45" s="337">
        <f>MAX(0,V45-U45)</f>
        <v/>
      </c>
      <c r="X45" s="337">
        <f>IF(C45="","",C45-WEEKDAY(C45,1)+1)</f>
        <v/>
      </c>
      <c r="Y45" s="337">
        <f>SUMPRODUCT(($X$14:$X44=X45)*(($V$14:$V44)+($O$14:$O44)))+IF(X45=X14,$L$11,0)</f>
        <v/>
      </c>
      <c r="Z45" s="337" t="n"/>
      <c r="AA45" s="337" t="n"/>
      <c r="AB45" s="337" t="n"/>
      <c r="AC45" s="337" t="n"/>
      <c r="AD45" s="337" t="n"/>
      <c r="AE45" s="337" t="n"/>
      <c r="AF45" s="337" t="n"/>
    </row>
    <row r="46" ht="24" customHeight="1" s="328" thickBot="1">
      <c r="A46" s="192" t="inlineStr">
        <is>
          <t>On Day</t>
        </is>
      </c>
      <c r="B46" s="247" t="n"/>
      <c r="C46" s="109">
        <f>C45</f>
        <v/>
      </c>
      <c r="D46" s="98" t="n"/>
      <c r="E46" s="283">
        <f>IF(D46="", "",
 IF(D46=TIME(0,0,0), 0,
 IF(AND(D46&gt;=TIME(0,0,1), D46&lt;=TIME(2,0,0)), TIME(7,0,0),
 IF(AND(D46&gt;=TIME(5,0,0), D46&lt;=TIME(8,0,0)), TIME(12,0,0),
 IF(AND(D46&gt;TIME(8,0,0), D46&lt;=TIME(13,59,0)), TIME(15,0,0),
 IF(AND(D46&gt;=TIME(14,0,0), D46&lt;=TIME(17,59,0)), TIME(21,0,0),
 IF(AND(D46&gt;=TIME(18,0,0), D46&lt;=TIME(21,59,0)), TIME(0,0,0),
 IF(AND(D46&gt;=TIME(22,0,0), D46&lt;=TIME(23,59,59)), TIME(7,0,0), ""))))))))</f>
        <v/>
      </c>
      <c r="F46" s="195" t="n"/>
      <c r="G46" s="283">
        <f>E46</f>
        <v/>
      </c>
      <c r="H46" s="98" t="n"/>
      <c r="I46" s="40">
        <f>ROUND(IF(OR(D46="",E46="",E46=0),0,IF(H46="",MOD(E46-D46,1)*24,MOD(H46-D46,1)*24)),2)</f>
        <v/>
      </c>
      <c r="J46" s="199" t="n"/>
      <c r="K46" s="197" t="n"/>
      <c r="L46" s="240" t="n"/>
      <c r="M46" s="145">
        <f>MAX(0,V46-W46)</f>
        <v/>
      </c>
      <c r="N46" s="99">
        <f>(IF(OR($C46="",$D46=""),0,
 IF(OR($A46="Holiday",$A47="Holiday"),
    IF(ISNUMBER(MATCH(TRIM($B46),{"Phagwah","Good Friday","Easter Monday","Labour Day","Christmas","Eid ul Azha","Romans-2","Globe-12","Neptune P1"},0)),0,$I46),
 IF(AND(NOT(OR($A46="Annual Leave",$A47="Annual Leave")),$A46="Off day"),$I46,
  MAX(0,$I46-$V46)
  ))))+W46</f>
        <v/>
      </c>
      <c r="O46" s="99">
        <f>IF(AND(OR($A46="Holiday",$A47="Holiday"),
        ISNUMBER(MATCH(TRIM($B46),{"Phagwah","Good Friday","Easter Monday","Labour Day","Christmas","Eid ul Azha","Romans-2","Globe-12","Neptune P1"},0))),
   $I46,0)</f>
        <v/>
      </c>
      <c r="P46" s="99">
        <f>IF(OR($O$7="Canteen",$O$7="Head Office"),0,IF($I46&lt;=0,0,IF(OR(OR(TRIM($J46)="Hebrews",TRIM($J46)="Romans",TRIM($J46)="Romans-2",TRIM($J46)="Globe",TRIM($J46)="Globe-12",TRIM($J46)="Neptune P1"),AND($I47&gt;0,OR(TRIM($J47)="Hebrews",TRIM($J47)="Romans",TRIM($J47)="Romans-2",TRIM($J47)="Globe",TRIM($J47)="Globe-12",TRIM($J47)="Neptune P1"))),1,0)))</f>
        <v/>
      </c>
      <c r="Q46" s="100" t="n"/>
      <c r="R46" s="99">
        <f>IF(OR($O$7="Canteen",$O$7="Head Office"),0,IF(
  AND(
    SUMIFS(I:I, C:C, C46) &gt;= 8,
    COUNTIFS(C$14:C46, C46)=1,
    OR(
      TEXT(D46,"hh:mm:ss")="07:00:00",
      TEXT(D46,"hh:mm:ss")="15:00:00",
      TEXT(D46,"hh:mm:ss")="23:00:00",
      TEXT(D51,"hh:mm:ss")="07:00:00",
      TEXT(D51,"hh:mm:ss")="15:00:00",
      TEXT(D51,"hh:mm:ss")="23:00:00"
    )
  ),
  1,
  0
))</f>
        <v/>
      </c>
      <c r="S46" s="99">
        <f>IF(OR($A46="Annual Leave",$A47="Annual Leave"),IF($A46="Annual Leave",8,0),0)</f>
        <v/>
      </c>
      <c r="T46" s="138" t="n"/>
      <c r="U46" s="178">
        <f>MAX(0,40-Y46)</f>
        <v/>
      </c>
      <c r="V46" s="337">
        <f>IF(OR($A46="Holiday",$A47="Holiday"),IF(OR($C46="",$D46=""),0,
 IF(OR($A46="Holiday",$A47="Holiday"),0,
 IF(AND(NOT(OR($A46="Annual Leave",$A47="Annual Leave")),$A46="Off day"),0,
  IF($I46+$I47&gt;=8,IF($I46&gt;=8,8,$I46),$I46)
  )))+IF(MOD(ROW(),2)=0,8,0),IF(OR($C46="",$D46=""),0,
 IF(OR($A46="Holiday",$A47="Holiday"),0,
 IF(AND(NOT(OR($A46="Annual Leave",$A47="Annual Leave")),$A46="Off day"),0,
  IF($I46+$I47&gt;=8,IF($I46&gt;=8,8,$I46),$I46)
  ))))</f>
        <v/>
      </c>
      <c r="W46" s="337">
        <f>MAX(0,V46-U46)</f>
        <v/>
      </c>
      <c r="X46" s="337">
        <f>IF(C46="","",C46-WEEKDAY(C46,1)+1)</f>
        <v/>
      </c>
      <c r="Y46" s="337">
        <f>SUMPRODUCT(($X$14:$X45=X46)*(($V$14:$V45)+($O$14:$O45)))+IF(X46=X14,$L$11,0)</f>
        <v/>
      </c>
      <c r="Z46" s="337" t="n"/>
      <c r="AA46" s="337" t="n"/>
      <c r="AB46" s="337" t="n"/>
      <c r="AC46" s="337" t="n"/>
      <c r="AD46" s="337" t="n"/>
      <c r="AE46" s="337" t="n"/>
      <c r="AF46" s="337" t="n"/>
    </row>
    <row r="47" ht="24" customHeight="1" s="328" thickBot="1">
      <c r="A47" s="234" t="inlineStr">
        <is>
          <t>On Day</t>
        </is>
      </c>
      <c r="B47" s="284" t="n"/>
      <c r="C47" s="139">
        <f>C45+1</f>
        <v/>
      </c>
      <c r="D47" s="101" t="n"/>
      <c r="E47" s="285">
        <f>IF(D47="", "",
 IF(D47=TIME(0,0,0), 0,
 IF(AND(D47&gt;=TIME(0,0,1), D47&lt;=TIME(2,0,0)), TIME(7,0,0),
 IF(AND(D47&gt;=TIME(5,0,0), D47&lt;=TIME(8,0,0)), TIME(12,0,0),
 IF(AND(D47&gt;TIME(8,0,0), D47&lt;=TIME(13,59,0)), TIME(15,0,0),
 IF(AND(D47&gt;=TIME(14,0,0), D47&lt;=TIME(17,59,0)), TIME(21,0,0),
 IF(AND(D47&gt;=TIME(18,0,0), D47&lt;=TIME(21,59,0)), TIME(0,0,0),
 IF(AND(D47&gt;=TIME(22,0,0), D47&lt;=TIME(23,59,59)), TIME(7,0,0), ""))))))))</f>
        <v/>
      </c>
      <c r="F47" s="286" t="n"/>
      <c r="G47" s="285">
        <f>E47</f>
        <v/>
      </c>
      <c r="H47" s="101" t="n"/>
      <c r="I47" s="33">
        <f>ROUND(IF(OR(D47="",E47="",E47=0),0,IF(H47="",MOD(E47-D47,1)*24,MOD(H47-D47,1)*24)),2)</f>
        <v/>
      </c>
      <c r="J47" s="287" t="n"/>
      <c r="K47" s="239" t="n"/>
      <c r="L47" s="231" t="n"/>
      <c r="M47" s="149">
        <f>MAX(0,V47-W47)</f>
        <v/>
      </c>
      <c r="N47" s="102">
        <f>(IF(OR($C47="",$D47=""),0,
 IF(OR($A46="Holiday",$A47="Holiday"),
    IF(ISNUMBER(MATCH(TRIM($B47),{"Phagwah","Good Friday","Easter Monday","Labour Day","Christmas","Eid ul Azha","Romans-2","Globe-12","Neptune P1"},0)),0,$I47),
 IF(AND(NOT(OR($A46="Annual Leave",$A47="Annual Leave")),$A47="Off day"),$I47,
  MAX(0,$I47-$V47)
  ))))+W47</f>
        <v/>
      </c>
      <c r="O47" s="102">
        <f>IF(AND(OR($A46="Holiday",$A47="Holiday"),
        ISNUMBER(MATCH(TRIM($B47),{"Phagwah","Good Friday","Easter Monday","Labour Day","Christmas","Eid ul Azha","Romans-2","Globe-12","Neptune P1"},0))),
   $I47,0)</f>
        <v/>
      </c>
      <c r="P47" s="102">
        <f>IF(OR($O$7="Canteen",$O$7="Head Office"),0,IF($I47&lt;=0,0,IF(AND($I46&lt;=0,OR(TRIM($J47)="Hebrews",TRIM($J47)="Romans",TRIM($J47)="Romans-2",TRIM($J47)="Globe",TRIM($J47)="Globe-12",TRIM($J47)="Neptune P1")),1,0)))</f>
        <v/>
      </c>
      <c r="Q47" s="103" t="n"/>
      <c r="R47" s="102">
        <f>IF(OR($O$7="Canteen",$O$7="Head Office"),0,IF(
  AND(
    SUMIFS(I:I, C:C, C47) &gt;= 8,
    COUNTIFS(C$14:C47, C47)=1,
    OR(
      TEXT(D47,"hh:mm:ss")="07:00:00",
      TEXT(D47,"hh:mm:ss")="15:00:00",
      TEXT(D47,"hh:mm:ss")="23:00:00",
      TEXT(D48,"hh:mm:ss")="07:00:00",
      TEXT(D48,"hh:mm:ss")="15:00:00",
      TEXT(D48,"hh:mm:ss")="23:00:00"
    )
  ),
  1,
  0
))</f>
        <v/>
      </c>
      <c r="S47" s="102">
        <f>IF(OR($A46="Annual Leave",$A47="Annual Leave"),IF(AND($A46&lt;&gt;"Annual Leave",$A47="Annual Leave"),8,0),0)</f>
        <v/>
      </c>
      <c r="T47" s="104" t="n"/>
      <c r="U47" s="178">
        <f>MAX(0,40-Y47)</f>
        <v/>
      </c>
      <c r="V47" s="337">
        <f>IF(OR($A47="Holiday",$A46="Holiday"),IF(OR($C47="",$D47=""),0,
 IF(OR($A46="Holiday",$A47="Holiday"),0,
 IF(AND(NOT(OR($A46="Annual Leave",$A47="Annual Leave")),$A47="Off day"),0,
  IF($I46+$I47&gt;=8,IF($I46&gt;=8,0,8-$I46),$I47)
  )))+IF(MOD(ROW(),2)=0,8,0),IF(OR($C47="",$D47=""),0,
 IF(OR($A46="Holiday",$A47="Holiday"),0,
 IF(AND(NOT(OR($A46="Annual Leave",$A47="Annual Leave")),$A47="Off day"),0,
  IF($I46+$I47&gt;=8,IF($I46&gt;=8,0,8-$I46),$I47)
  ))))</f>
        <v/>
      </c>
      <c r="W47" s="337">
        <f>MAX(0,V47-U47)</f>
        <v/>
      </c>
      <c r="X47" s="337">
        <f>IF(C47="","",C47-WEEKDAY(C47,1)+1)</f>
        <v/>
      </c>
      <c r="Y47" s="337">
        <f>SUMPRODUCT(($X$14:$X46=X47)*(($V$14:$V46)+($O$14:$O46)))+IF(X47=X14,$L$11,0)</f>
        <v/>
      </c>
      <c r="Z47" s="337" t="n"/>
      <c r="AA47" s="337" t="n"/>
      <c r="AB47" s="337" t="n"/>
      <c r="AC47" s="337" t="n"/>
      <c r="AD47" s="337" t="n"/>
      <c r="AE47" s="337" t="n"/>
      <c r="AF47" s="337" t="n"/>
    </row>
    <row r="48" ht="24" customHeight="1" s="328" thickBot="1">
      <c r="A48" s="288" t="inlineStr">
        <is>
          <t>On Day</t>
        </is>
      </c>
      <c r="B48" s="241" t="n"/>
      <c r="C48" s="140">
        <f>C47</f>
        <v/>
      </c>
      <c r="D48" s="34" t="n"/>
      <c r="E48" s="289">
        <f>IF(D48="", "",
 IF(D48=TIME(0,0,0), 0,
 IF(AND(D48&gt;=TIME(0,0,1), D48&lt;=TIME(2,0,0)), TIME(7,0,0),
 IF(AND(D48&gt;=TIME(5,0,0), D48&lt;=TIME(8,0,0)), TIME(12,0,0),
 IF(AND(D48&gt;TIME(8,0,0), D48&lt;=TIME(13,59,0)), TIME(15,0,0),
 IF(AND(D48&gt;=TIME(14,0,0), D48&lt;=TIME(17,59,0)), TIME(21,0,0),
 IF(AND(D48&gt;=TIME(18,0,0), D48&lt;=TIME(21,59,0)), TIME(0,0,0),
 IF(AND(D48&gt;=TIME(22,0,0), D48&lt;=TIME(23,59,59)), TIME(7,0,0), ""))))))))</f>
        <v/>
      </c>
      <c r="F48" s="290" t="n"/>
      <c r="G48" s="289">
        <f>E48</f>
        <v/>
      </c>
      <c r="H48" s="9" t="n"/>
      <c r="I48" s="105">
        <f>ROUND(IF(OR(D48="",E48="",E48=0),0,IF(H48="",MOD(E48-D48,1)*24,MOD(H48-D48,1)*24)),2)</f>
        <v/>
      </c>
      <c r="J48" s="243" t="n"/>
      <c r="K48" s="239" t="n"/>
      <c r="L48" s="233" t="n"/>
      <c r="M48" s="153">
        <f>MAX(0,V48-W48)</f>
        <v/>
      </c>
      <c r="N48" s="23">
        <f>(IF(OR($C48="",$D48=""),0,
 IF(OR($A48="Holiday",$A49="Holiday"),
    IF(ISNUMBER(MATCH(TRIM($B48),{"Phagwah","Good Friday","Easter Monday","Labour Day","Christmas","Eid ul Azha","Romans-2","Globe-12","Neptune P1"},0)),0,$I48),
 IF(AND(NOT(OR($A48="Annual Leave",$A49="Annual Leave")),$A48="Off day"),$I48,
  MAX(0,$I48-$V48)
  ))))+W48</f>
        <v/>
      </c>
      <c r="O48" s="10" t="n"/>
      <c r="P48" s="291">
        <f>IF(OR($O$7="Canteen",$O$7="Head Office"),0,IF($I48&lt;=0,0,IF(OR(OR(TRIM($J48)="Hebrews",TRIM($J48)="Romans",TRIM($J48)="Romans-2",TRIM($J48)="Globe",TRIM($J48)="Globe-12",TRIM($J48)="Neptune P1"),AND($I49&gt;0,OR(TRIM($J49)="Hebrews",TRIM($J49)="Romans",TRIM($J49)="Romans-2",TRIM($J49)="Globe",TRIM($J49)="Globe-12",TRIM($J49)="Neptune P1"))),1,0)))</f>
        <v/>
      </c>
      <c r="Q48" s="10" t="n"/>
      <c r="R48" s="23">
        <f>IF(OR($O$7="Canteen",$O$7="Head Office"),0,IF(
  AND(
    SUMIFS(I:I, C:C, C48) &gt;= 8,
    COUNTIFS(C$14:C48, C48)=1,
    OR(
      TEXT(D48,"hh:mm:ss")="07:00:00",
      TEXT(D48,"hh:mm:ss")="15:00:00",
      TEXT(D48,"hh:mm:ss")="23:00:00",
      TEXT(D53,"hh:mm:ss")="07:00:00",
      TEXT(D53,"hh:mm:ss")="15:00:00",
      TEXT(D53,"hh:mm:ss")="23:00:00"
    )
  ),
  1,
  0
))</f>
        <v/>
      </c>
      <c r="S48" s="10" t="n"/>
      <c r="T48" s="106" t="n"/>
      <c r="U48" s="178">
        <f>MAX(0,40-Y48)</f>
        <v/>
      </c>
      <c r="V48" s="337">
        <f>IF(OR($A48="Holiday",$A49="Holiday"),IF(OR($C48="",$D48=""),0,
 IF(OR($A48="Holiday",$A49="Holiday"),0,
 IF(AND(NOT(OR($A48="Annual Leave",$A49="Annual Leave")),$A48="Off day"),0,
  IF($I48+$I49&gt;=8,IF($I48&gt;=8,8,$I48),$I48)
  )))+IF(MOD(ROW(),2)=0,8,0),IF(OR($C48="",$D48=""),0,
 IF(OR($A48="Holiday",$A49="Holiday"),0,
 IF(AND(NOT(OR($A48="Annual Leave",$A49="Annual Leave")),$A48="Off day"),0,
  IF($I48+$I49&gt;=8,IF($I48&gt;=8,8,$I48),$I48)
  ))))</f>
        <v/>
      </c>
      <c r="W48" s="337">
        <f>MAX(0,V48-U48)</f>
        <v/>
      </c>
      <c r="X48" s="337">
        <f>IF(C48="","",C48-WEEKDAY(C48,1)+1)</f>
        <v/>
      </c>
      <c r="Y48" s="337">
        <f>SUMPRODUCT(($X$14:$X47=X48)*(($V$14:$V47)+($O$14:$O47)))+IF(X48=X14,$L$11,0)</f>
        <v/>
      </c>
      <c r="Z48" s="337" t="n"/>
      <c r="AA48" s="337" t="n"/>
      <c r="AB48" s="337" t="n"/>
      <c r="AC48" s="337" t="n"/>
      <c r="AD48" s="337" t="n"/>
      <c r="AE48" s="337" t="n"/>
      <c r="AF48" s="337" t="n"/>
    </row>
    <row r="49" ht="24" customHeight="1" s="328" thickBot="1">
      <c r="A49" s="292" t="n"/>
      <c r="B49" s="347" t="n"/>
      <c r="C49" s="293" t="n"/>
      <c r="D49" s="294" t="n"/>
      <c r="E49" s="294" t="n"/>
      <c r="F49" s="294" t="n"/>
      <c r="G49" s="294" t="n"/>
      <c r="H49" s="295" t="inlineStr">
        <is>
          <t>Total Hrs:</t>
        </is>
      </c>
      <c r="I49" s="143">
        <f>SUM(I14:I48)</f>
        <v/>
      </c>
      <c r="J49" s="296" t="n"/>
      <c r="K49" s="296" t="n"/>
      <c r="L49" s="297" t="n"/>
      <c r="M49" s="141">
        <f>SUM(M14:M48)</f>
        <v/>
      </c>
      <c r="N49" s="141">
        <f>SUM(N14:N48)</f>
        <v/>
      </c>
      <c r="O49" s="141">
        <f>SUM(O14:O48)</f>
        <v/>
      </c>
      <c r="P49" s="141">
        <f>SUM(P14:P48)</f>
        <v/>
      </c>
      <c r="Q49" s="141">
        <f>IF($O$6&lt;&gt;"Armed",0,LOOKUP($Q$50,{0,1,2,3,4,5,6,7,8,9,10,11,12,13,14},{0,384,769,1153,1153,1538,1923,2307,2692,3076,3461,3846,4239,4615,5000}))</f>
        <v/>
      </c>
      <c r="R49" s="141">
        <f>SUM(R14:R48)</f>
        <v/>
      </c>
      <c r="S49" s="141">
        <f>SUM(S14:S48)</f>
        <v/>
      </c>
      <c r="T49" s="142">
        <f>SUM(T30:T43)</f>
        <v/>
      </c>
      <c r="U49" s="178">
        <f>MIN(U48,0)</f>
        <v/>
      </c>
      <c r="V49" s="337">
        <f>SUM(V14:V48)</f>
        <v/>
      </c>
      <c r="W49" s="337">
        <f>SUM(W14:W48)</f>
        <v/>
      </c>
      <c r="X49" s="337" t="n"/>
      <c r="Y49" s="337" t="n"/>
      <c r="Z49" s="337" t="n"/>
      <c r="AA49" s="337" t="n"/>
      <c r="AB49" s="337" t="n"/>
      <c r="AC49" s="337" t="n"/>
      <c r="AD49" s="337" t="n"/>
      <c r="AE49" s="337" t="n"/>
      <c r="AF49" s="337" t="n"/>
    </row>
    <row r="50" ht="24" customHeight="1" s="328">
      <c r="A50" s="337" t="n"/>
      <c r="B50" s="337" t="n"/>
      <c r="C50" s="12" t="n"/>
      <c r="D50" s="12" t="n"/>
      <c r="E50" s="12" t="n"/>
      <c r="F50" s="12" t="n"/>
      <c r="G50" s="12" t="n"/>
      <c r="H50" s="348" t="n"/>
      <c r="I50" s="337" t="n"/>
      <c r="J50" s="348" t="n"/>
      <c r="K50" s="348" t="n"/>
      <c r="L50" s="348" t="n"/>
      <c r="M50" s="38" t="n"/>
      <c r="N50" s="38" t="n"/>
      <c r="O50" s="38" t="n"/>
      <c r="P50" s="303" t="inlineStr">
        <is>
          <t>Days Worked</t>
        </is>
      </c>
      <c r="Q50" s="39">
        <f>SUM(--(SUM(I14:I15)&gt;0),--(SUM(I16:I17)&gt;0),--(SUM(I18:I19)&gt;0),--(SUM(I20:I21)&gt;0),--(SUM(I22:I23)&gt;0),--(SUM(I24:I25)&gt;0),--(SUM(I26:I27)&gt;0),--(SUM(I30:I31)&gt;0),--(SUM(I32:I33)&gt;0),--(SUM(I34:I35)&gt;0),--(SUM(I36:I37)&gt;0),--(SUM(I38:I39)&gt;0),--(SUM(I40:I41)&gt;0),--(SUM(I42:I43)&gt;0),--(SUM(I45:I46)&gt;0),--(SUM(I47:I48)&gt;0))</f>
        <v/>
      </c>
      <c r="R50" s="38" t="n"/>
      <c r="S50" s="38" t="n"/>
      <c r="T50" s="38" t="n"/>
      <c r="U50" s="178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  <c r="AD50" s="337" t="n"/>
      <c r="AE50" s="337" t="n"/>
      <c r="AF50" s="337" t="n"/>
    </row>
    <row r="51" ht="24" customHeight="1" s="328">
      <c r="A51" s="337" t="n"/>
      <c r="B51" s="337" t="n"/>
      <c r="C51" s="349" t="n"/>
      <c r="D51" s="350" t="n"/>
      <c r="E51" s="350" t="n"/>
      <c r="F51" s="356" t="n"/>
      <c r="G51" s="350" t="n"/>
      <c r="H51" s="348" t="n"/>
      <c r="I51" s="337" t="n"/>
      <c r="J51" s="348" t="n"/>
      <c r="K51" s="348" t="n"/>
      <c r="L51" s="348" t="n"/>
      <c r="M51" s="298" t="n"/>
      <c r="N51" s="298" t="n"/>
      <c r="O51" s="298" t="n"/>
      <c r="P51" s="298" t="n"/>
      <c r="Q51" s="298" t="n"/>
      <c r="R51" s="298" t="n"/>
      <c r="S51" s="298" t="n"/>
      <c r="T51" s="298" t="n"/>
      <c r="U51" s="178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  <c r="AD51" s="337" t="n"/>
      <c r="AE51" s="337" t="n"/>
      <c r="AF51" s="337" t="n"/>
    </row>
    <row r="52">
      <c r="A52" s="337" t="n"/>
      <c r="B52" s="337" t="n"/>
      <c r="C52" s="338" t="inlineStr">
        <is>
          <t>Supervisor Signature</t>
        </is>
      </c>
      <c r="D52" s="339" t="n"/>
      <c r="E52" s="339" t="n"/>
      <c r="F52" s="338" t="inlineStr">
        <is>
          <t>Date</t>
        </is>
      </c>
      <c r="G52" s="339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  <c r="AD52" s="337" t="n"/>
      <c r="AE52" s="337" t="n"/>
      <c r="AF52" s="337" t="n"/>
    </row>
    <row r="53" ht="26.25" customHeight="1" s="328">
      <c r="A53" s="337" t="n"/>
      <c r="B53" s="337" t="n"/>
      <c r="C53" s="349" t="n"/>
      <c r="D53" s="350" t="n"/>
      <c r="E53" s="350" t="n"/>
      <c r="F53" s="365" t="n"/>
      <c r="G53" s="350" t="n"/>
      <c r="H53" s="12" t="n"/>
      <c r="I53" s="12" t="n"/>
      <c r="J53" s="12" t="n"/>
      <c r="K53" s="12" t="n"/>
      <c r="L53" s="12" t="n"/>
      <c r="M53" s="12" t="n"/>
      <c r="N53" s="299" t="n"/>
      <c r="O53" s="300" t="n"/>
      <c r="P53" s="36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  <c r="AD53" s="337" t="n"/>
      <c r="AE53" s="337" t="n"/>
      <c r="AF53" s="337" t="n"/>
    </row>
    <row r="54">
      <c r="A54" s="337" t="n"/>
      <c r="B54" s="337" t="n"/>
      <c r="C54" s="338" t="inlineStr">
        <is>
          <t>Manager Signature</t>
        </is>
      </c>
      <c r="D54" s="339" t="n"/>
      <c r="E54" s="339" t="n"/>
      <c r="F54" s="338" t="inlineStr">
        <is>
          <t>Date</t>
        </is>
      </c>
      <c r="G54" s="339" t="n"/>
      <c r="H54" s="12" t="n"/>
      <c r="I54" s="301" t="inlineStr">
        <is>
          <t>{42}</t>
        </is>
      </c>
      <c r="J54" s="301" t="n"/>
      <c r="K54" s="301" t="n"/>
      <c r="L54" s="301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  <c r="AD54" s="337" t="n"/>
      <c r="AE54" s="337" t="n"/>
      <c r="AF54" s="337" t="n"/>
    </row>
    <row r="55">
      <c r="A55" s="337" t="n"/>
      <c r="B55" s="337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  <c r="AD55" s="337" t="n"/>
      <c r="AE55" s="337" t="n"/>
      <c r="AF55" s="3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5"/>
  <mergeCells count="33">
    <mergeCell ref="C54:E54"/>
    <mergeCell ref="V2:W2"/>
    <mergeCell ref="C8:F8"/>
    <mergeCell ref="F54:G54"/>
    <mergeCell ref="H10:I10"/>
    <mergeCell ref="C7:F7"/>
    <mergeCell ref="K5:L5"/>
    <mergeCell ref="M5:N5"/>
    <mergeCell ref="H50:I50"/>
    <mergeCell ref="C51:E51"/>
    <mergeCell ref="A1:T1"/>
    <mergeCell ref="C52:E52"/>
    <mergeCell ref="V3:AB3"/>
    <mergeCell ref="F51:G51"/>
    <mergeCell ref="M10:N10"/>
    <mergeCell ref="H51:I51"/>
    <mergeCell ref="C6:F6"/>
    <mergeCell ref="C5:F5"/>
    <mergeCell ref="M7:N7"/>
    <mergeCell ref="M6:N6"/>
    <mergeCell ref="C53:E53"/>
    <mergeCell ref="H7:I7"/>
    <mergeCell ref="H28:I28"/>
    <mergeCell ref="C10:F10"/>
    <mergeCell ref="M8:N8"/>
    <mergeCell ref="F52:G52"/>
    <mergeCell ref="P53:T53"/>
    <mergeCell ref="AA2:AB2"/>
    <mergeCell ref="K10:L10"/>
    <mergeCell ref="H5:I5"/>
    <mergeCell ref="K4:L4"/>
    <mergeCell ref="M4:N4"/>
    <mergeCell ref="F53:G53"/>
  </mergeCells>
  <dataValidations count="5">
    <dataValidation sqref="A14:A48" showDropDown="0" showInputMessage="0" showErrorMessage="0" allowBlank="1" type="list">
      <formula1>"On Day,Off Day,Sick,Absent,Holiday,Annual Leave"</formula1>
    </dataValidation>
    <dataValidation sqref="B14:B48" showDropDown="0" showInputMessage="0" showErrorMessage="0" allowBlank="1" type="list">
      <formula1>"Holiday Double,Phagwah,Good Friday,Easter Monday,Labour Day,Christmas,Eid ul Azha"</formula1>
    </dataValidation>
    <dataValidation sqref="O7" showDropDown="0" showInputMessage="0" showErrorMessage="0" allowBlank="1" type="list">
      <formula1>"Caricom,EU,UN,DMC,ARU,Head Office,Canteen"</formula1>
    </dataValidation>
    <dataValidation sqref="O6" showDropDown="0" showInputMessage="0" showErrorMessage="0" allowBlank="1" type="list">
      <formula1>"Unarmed,Armed"</formula1>
    </dataValidation>
    <dataValidation sqref="J14:J48" showDropDown="0" showInputMessage="0" showErrorMessage="0" allowBlank="1" type="list">
      <formula1>=LocationList</formula1>
    </dataValidation>
  </dataValidations>
  <printOptions horizontalCentered="1"/>
  <pageMargins left="0.5" right="0.5" top="0.5" bottom="1" header="0.5" footer="0.5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</t>
        </is>
      </c>
    </row>
    <row r="2">
      <c r="A2" t="inlineStr">
        <is>
          <t>Unico-2</t>
        </is>
      </c>
    </row>
    <row r="3">
      <c r="A3" t="inlineStr">
        <is>
          <t>Unico-42</t>
        </is>
      </c>
    </row>
    <row r="4">
      <c r="A4" t="inlineStr">
        <is>
          <t>Unico-44</t>
        </is>
      </c>
    </row>
    <row r="5">
      <c r="A5" t="inlineStr">
        <is>
          <t>Unico-46</t>
        </is>
      </c>
    </row>
    <row r="6">
      <c r="A6" t="inlineStr">
        <is>
          <t>Unico-47</t>
        </is>
      </c>
    </row>
    <row r="7">
      <c r="A7" t="inlineStr">
        <is>
          <t>Unico-48</t>
        </is>
      </c>
    </row>
    <row r="8">
      <c r="A8" t="inlineStr">
        <is>
          <t>Unico-49</t>
        </is>
      </c>
    </row>
    <row r="9">
      <c r="A9" t="inlineStr">
        <is>
          <t>Globe</t>
        </is>
      </c>
    </row>
    <row r="10">
      <c r="A10" t="inlineStr">
        <is>
          <t>Globe-12</t>
        </is>
      </c>
    </row>
    <row r="11">
      <c r="A11" t="inlineStr">
        <is>
          <t>Hebrews</t>
        </is>
      </c>
    </row>
    <row r="12">
      <c r="A12" t="inlineStr">
        <is>
          <t>Romans-2</t>
        </is>
      </c>
    </row>
    <row r="13">
      <c r="A13" t="inlineStr">
        <is>
          <t>Beacon</t>
        </is>
      </c>
    </row>
    <row r="14">
      <c r="A14" t="inlineStr">
        <is>
          <t>Numbers</t>
        </is>
      </c>
    </row>
    <row r="15">
      <c r="A15" t="inlineStr">
        <is>
          <t>Zebra-24</t>
        </is>
      </c>
    </row>
    <row r="16">
      <c r="A16" t="inlineStr">
        <is>
          <t>Sunrise</t>
        </is>
      </c>
    </row>
    <row r="17">
      <c r="A17" t="inlineStr">
        <is>
          <t>Sunrise-1</t>
        </is>
      </c>
    </row>
    <row r="18">
      <c r="A18" t="inlineStr">
        <is>
          <t>Sunflower 6</t>
        </is>
      </c>
    </row>
    <row r="19">
      <c r="A19" t="inlineStr">
        <is>
          <t>Sunset 12</t>
        </is>
      </c>
    </row>
    <row r="20">
      <c r="A20" t="inlineStr">
        <is>
          <t>Ripple</t>
        </is>
      </c>
    </row>
    <row r="21">
      <c r="A21" t="inlineStr">
        <is>
          <t>Neptune P1</t>
        </is>
      </c>
    </row>
    <row r="22">
      <c r="A22" t="inlineStr">
        <is>
          <t>Neptune P2</t>
        </is>
      </c>
    </row>
    <row r="23">
      <c r="A23" t="inlineStr">
        <is>
          <t>Neptune P3</t>
        </is>
      </c>
    </row>
    <row r="24">
      <c r="A24" t="inlineStr">
        <is>
          <t>Neptune P4</t>
        </is>
      </c>
    </row>
    <row r="25">
      <c r="A25" t="inlineStr">
        <is>
          <t>Neptune P5</t>
        </is>
      </c>
    </row>
    <row r="26">
      <c r="A26" t="inlineStr">
        <is>
          <t>Neptune P6</t>
        </is>
      </c>
    </row>
    <row r="27">
      <c r="A27" t="inlineStr">
        <is>
          <t>Neptune P7</t>
        </is>
      </c>
    </row>
    <row r="28">
      <c r="A28" t="inlineStr">
        <is>
          <t>Rainbow 1</t>
        </is>
      </c>
    </row>
    <row r="29">
      <c r="A29" t="inlineStr">
        <is>
          <t>Rainbow 2</t>
        </is>
      </c>
    </row>
    <row r="30">
      <c r="A30" t="inlineStr">
        <is>
          <t>Citadel</t>
        </is>
      </c>
    </row>
    <row r="31">
      <c r="A31" t="inlineStr">
        <is>
          <t>Sunset 11</t>
        </is>
      </c>
    </row>
    <row r="32">
      <c r="A32" t="inlineStr">
        <is>
          <t>Autumn</t>
        </is>
      </c>
    </row>
    <row r="33">
      <c r="A33" t="inlineStr">
        <is>
          <t>Autumn-2</t>
        </is>
      </c>
    </row>
    <row r="34">
      <c r="A34" t="inlineStr">
        <is>
          <t>Miracle</t>
        </is>
      </c>
    </row>
    <row r="35">
      <c r="A35" t="inlineStr">
        <is>
          <t>Miracle 1</t>
        </is>
      </c>
    </row>
    <row r="36">
      <c r="A36" t="inlineStr">
        <is>
          <t>Canteen</t>
        </is>
      </c>
    </row>
    <row r="37">
      <c r="A37" t="inlineStr">
        <is>
          <t>Guard Hut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Vertex42.com</dc:creator>
  <dc:title xmlns:dc="http://purl.org/dc/elements/1.1/">Employee Time Sheet with Breaks</dc:title>
  <dc:description xmlns:dc="http://purl.org/dc/elements/1.1/">(c) 2010 Vertex42 LLC. All Rights Reserved.</dc:description>
  <dcterms:created xmlns:dcterms="http://purl.org/dc/terms/" xmlns:xsi="http://www.w3.org/2001/XMLSchema-instance" xsi:type="dcterms:W3CDTF">2003-11-23T07:57:29Z</dcterms:created>
  <dcterms:modified xmlns:dcterms="http://purl.org/dc/terms/" xmlns:xsi="http://www.w3.org/2001/XMLSchema-instance" xsi:type="dcterms:W3CDTF">2026-02-03T15:55:51Z</dcterms:modified>
  <cp:lastModifiedBy>Accounts</cp:lastModifiedBy>
  <cp:lastPrinted>2017-02-08T23:01:46Z</cp:lastPrint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2010 Vertex42 LLC</vt:lpwstr>
  </property>
  <property name="Version" fmtid="{D5CDD505-2E9C-101B-9397-08002B2CF9AE}" pid="3">
    <vt:lpwstr xmlns:vt="http://schemas.openxmlformats.org/officeDocument/2006/docPropsVTypes">2.4.0</vt:lpwstr>
  </property>
</Properties>
</file>