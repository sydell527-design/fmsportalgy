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Work Hours Summary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Payroll Summary" sheetId="3" state="visible" r:id="rId3"/>
    <sheet xmlns:r="http://schemas.openxmlformats.org/officeDocument/2006/relationships" name="TEMPLATE" sheetId="4" state="visible" r:id="rId4"/>
    <sheet xmlns:r="http://schemas.openxmlformats.org/officeDocument/2006/relationships" name="Nelson, Keshia" sheetId="5" state="visible" r:id="rId5"/>
    <sheet xmlns:r="http://schemas.openxmlformats.org/officeDocument/2006/relationships" name="Abel, Natalie" sheetId="6" state="visible" r:id="rId6"/>
    <sheet xmlns:r="http://schemas.openxmlformats.org/officeDocument/2006/relationships" name="April, Candica" sheetId="7" state="visible" r:id="rId7"/>
    <sheet xmlns:r="http://schemas.openxmlformats.org/officeDocument/2006/relationships" name="Beharry, Akeela" sheetId="8" state="visible" r:id="rId8"/>
    <sheet xmlns:r="http://schemas.openxmlformats.org/officeDocument/2006/relationships" name="Charles, Maisha" sheetId="9" state="visible" r:id="rId9"/>
    <sheet xmlns:r="http://schemas.openxmlformats.org/officeDocument/2006/relationships" name="Eastman, Dennis" sheetId="10" state="visible" r:id="rId10"/>
    <sheet xmlns:r="http://schemas.openxmlformats.org/officeDocument/2006/relationships" name="Eastman, Dorritte" sheetId="11" state="visible" r:id="rId11"/>
    <sheet xmlns:r="http://schemas.openxmlformats.org/officeDocument/2006/relationships" name="Hector, Aaliyah" sheetId="12" state="visible" r:id="rId12"/>
    <sheet xmlns:r="http://schemas.openxmlformats.org/officeDocument/2006/relationships" name="Hector, Onicka" sheetId="13" state="visible" r:id="rId13"/>
    <sheet xmlns:r="http://schemas.openxmlformats.org/officeDocument/2006/relationships" name="Lawrence, Stephen" sheetId="14" state="visible" r:id="rId14"/>
    <sheet xmlns:r="http://schemas.openxmlformats.org/officeDocument/2006/relationships" name="Lawson, Delicia" sheetId="15" state="visible" r:id="rId15"/>
    <sheet xmlns:r="http://schemas.openxmlformats.org/officeDocument/2006/relationships" name="Lewis, Tahandica" sheetId="16" state="visible" r:id="rId16"/>
    <sheet xmlns:r="http://schemas.openxmlformats.org/officeDocument/2006/relationships" name="Parris, Ceyon" sheetId="17" state="visible" r:id="rId17"/>
    <sheet xmlns:r="http://schemas.openxmlformats.org/officeDocument/2006/relationships" name="Phoenix, Ryan" sheetId="18" state="visible" r:id="rId18"/>
    <sheet xmlns:r="http://schemas.openxmlformats.org/officeDocument/2006/relationships" name="Pollard, Lotoya" sheetId="19" state="visible" r:id="rId19"/>
    <sheet xmlns:r="http://schemas.openxmlformats.org/officeDocument/2006/relationships" name="Reynolds, Kevin" sheetId="20" state="visible" r:id="rId20"/>
    <sheet xmlns:r="http://schemas.openxmlformats.org/officeDocument/2006/relationships" name="Roberts, Odetta" sheetId="21" state="visible" r:id="rId21"/>
    <sheet xmlns:r="http://schemas.openxmlformats.org/officeDocument/2006/relationships" name="Robinson, Candacy" sheetId="22" state="visible" r:id="rId22"/>
    <sheet xmlns:r="http://schemas.openxmlformats.org/officeDocument/2006/relationships" name="Spencer, Renita" sheetId="23" state="visible" r:id="rId23"/>
    <sheet xmlns:r="http://schemas.openxmlformats.org/officeDocument/2006/relationships" name="Blake, Bevon" sheetId="24" state="visible" r:id="rId24"/>
    <sheet xmlns:r="http://schemas.openxmlformats.org/officeDocument/2006/relationships" name="Smith, Tiffany" sheetId="25" state="visible" r:id="rId25"/>
    <sheet xmlns:r="http://schemas.openxmlformats.org/officeDocument/2006/relationships" name="Ash, Carol" sheetId="26" state="visible" r:id="rId26"/>
    <sheet xmlns:r="http://schemas.openxmlformats.org/officeDocument/2006/relationships" name="Cromwell, Dexter" sheetId="27" state="visible" r:id="rId27"/>
    <sheet xmlns:r="http://schemas.openxmlformats.org/officeDocument/2006/relationships" name="Grant, Earl" sheetId="28" state="visible" r:id="rId28"/>
    <sheet xmlns:r="http://schemas.openxmlformats.org/officeDocument/2006/relationships" name="Harry, Dennis" sheetId="29" state="visible" r:id="rId29"/>
    <sheet xmlns:r="http://schemas.openxmlformats.org/officeDocument/2006/relationships" name="Inniss, Euci" sheetId="30" state="visible" r:id="rId30"/>
    <sheet xmlns:r="http://schemas.openxmlformats.org/officeDocument/2006/relationships" name="Khan, Ahmad" sheetId="31" state="visible" r:id="rId31"/>
    <sheet xmlns:r="http://schemas.openxmlformats.org/officeDocument/2006/relationships" name="Vincent, Fucien" sheetId="32" state="visible" r:id="rId32"/>
    <sheet xmlns:r="http://schemas.openxmlformats.org/officeDocument/2006/relationships" name="Venture, Ollivina" sheetId="33" state="visible" r:id="rId33"/>
    <sheet xmlns:r="http://schemas.openxmlformats.org/officeDocument/2006/relationships" name="_Locations" sheetId="34" state="hidden" r:id="rId34"/>
  </sheets>
  <definedNames>
    <definedName name="valuevx">42.314159</definedName>
    <definedName name="vertex42_copyright" hidden="1">"© 2010-2017 Vertex42 LLC"</definedName>
    <definedName name="vertex42_id" hidden="1">"timesheet-with-breaks.xlsx"</definedName>
    <definedName name="vertex42_title" hidden="1">"Employee Time Sheet with Breaks"</definedName>
    <definedName name="LocationList">'_Locations'!$A$1:$A$37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[$-409]h:mm\ AM/PM;@"/>
    <numFmt numFmtId="166" formatCode="ddd\ m/d"/>
    <numFmt numFmtId="167" formatCode="_(* #,##0.00_);_(* \(#,##0.00\);;_(@_)"/>
    <numFmt numFmtId="168" formatCode="mmmm\ yyyy"/>
  </numFmts>
  <fonts count="42"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Tahoma"/>
      <family val="2"/>
      <sz val="10"/>
    </font>
    <font>
      <name val="Trebuchet MS"/>
      <family val="2"/>
      <sz val="10"/>
    </font>
    <font>
      <name val="Trebuchet MS"/>
      <family val="2"/>
      <b val="1"/>
      <sz val="10"/>
    </font>
    <font>
      <name val="Trebuchet MS"/>
      <family val="2"/>
      <sz val="8"/>
    </font>
    <font>
      <name val="Trebuchet MS"/>
      <family val="2"/>
      <b val="1"/>
      <color indexed="9"/>
      <sz val="12"/>
    </font>
    <font>
      <name val="Trebuchet MS"/>
      <family val="2"/>
      <color indexed="22"/>
      <sz val="10"/>
    </font>
    <font>
      <name val="Arial"/>
      <family val="2"/>
      <sz val="10"/>
    </font>
    <font>
      <name val="Trebuchet MS"/>
      <family val="2"/>
      <color indexed="12"/>
      <sz val="8"/>
      <u val="single"/>
      <scheme val="minor"/>
    </font>
    <font>
      <name val="Trebuchet MS"/>
      <family val="2"/>
      <sz val="10"/>
      <scheme val="minor"/>
    </font>
    <font>
      <name val="Trebuchet MS"/>
      <family val="2"/>
      <color indexed="55"/>
      <sz val="8"/>
      <scheme val="minor"/>
    </font>
    <font>
      <name val="Trebuchet MS"/>
      <family val="2"/>
      <b val="1"/>
      <sz val="16"/>
      <scheme val="minor"/>
    </font>
    <font>
      <name val="Trebuchet MS"/>
      <family val="2"/>
      <b val="1"/>
      <sz val="10"/>
      <scheme val="minor"/>
    </font>
    <font>
      <name val="Trebuchet MS"/>
      <family val="2"/>
      <color indexed="9"/>
      <sz val="10"/>
      <scheme val="minor"/>
    </font>
    <font>
      <name val="Trebuchet MS"/>
      <family val="2"/>
      <sz val="9"/>
      <scheme val="minor"/>
    </font>
    <font>
      <name val="Trebuchet MS"/>
      <family val="2"/>
      <b val="1"/>
      <sz val="12"/>
      <scheme val="minor"/>
    </font>
    <font>
      <name val="Trebuchet MS"/>
      <family val="2"/>
      <color indexed="9"/>
      <sz val="6"/>
      <scheme val="minor"/>
    </font>
    <font>
      <name val="Trebuchet MS"/>
      <family val="2"/>
      <b val="1"/>
      <color theme="4" tint="-0.249977111117893"/>
      <sz val="18"/>
      <scheme val="major"/>
    </font>
    <font>
      <name val="Trebuchet MS"/>
      <family val="2"/>
      <sz val="10"/>
      <scheme val="major"/>
    </font>
    <font>
      <name val="Trebuchet MS"/>
      <family val="2"/>
      <b val="1"/>
      <sz val="10"/>
      <scheme val="major"/>
    </font>
    <font>
      <name val="&quot;Trebuchet MS&quot;"/>
      <color theme="1"/>
      <sz val="10"/>
    </font>
    <font>
      <name val="&quot;Trebuchet MS&quot;"/>
      <sz val="10"/>
    </font>
    <font>
      <name val="Trebuchet MS"/>
      <b val="1"/>
      <sz val="10"/>
    </font>
    <font>
      <name val="Trebuchet MS"/>
      <b val="1"/>
      <sz val="14"/>
    </font>
    <font>
      <name val="Trebuchet MS"/>
      <b val="1"/>
      <sz val="12"/>
    </font>
    <font>
      <name val="Trebuchet MS"/>
      <family val="2"/>
      <color theme="1"/>
      <sz val="11"/>
      <scheme val="minor"/>
    </font>
    <font>
      <b val="1"/>
    </font>
    <font>
      <b val="1"/>
      <color rgb="000000FF"/>
    </font>
    <font>
      <b val="1"/>
      <color rgb="00CC0000"/>
      <sz val="12"/>
    </font>
    <font>
      <b val="1"/>
      <sz val="11"/>
    </font>
    <font>
      <b val="1"/>
      <sz val="12"/>
    </font>
    <font>
      <b val="1"/>
      <color rgb="00FF0000"/>
    </font>
    <font>
      <b val="1"/>
      <sz val="14"/>
    </font>
    <font>
      <i val="1"/>
    </font>
    <font>
      <b val="1"/>
      <color rgb="00FFFFFF"/>
      <sz val="11"/>
    </font>
    <font>
      <b val="1"/>
      <color rgb="00CC0000"/>
    </font>
    <font>
      <color rgb="00006600"/>
    </font>
    <font>
      <i val="1"/>
      <color rgb="00666666"/>
    </font>
    <font>
      <b val="1"/>
      <sz val="9"/>
    </font>
    <font>
      <b val="1"/>
      <color rgb="00FF6600"/>
    </font>
  </fonts>
  <fills count="1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FEFEF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6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6">
    <xf numFmtId="0" fontId="4" fillId="0" borderId="0"/>
    <xf numFmtId="43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  <xf numFmtId="0" fontId="9" fillId="0" borderId="0"/>
    <xf numFmtId="0" fontId="9" fillId="0" borderId="0"/>
  </cellStyleXfs>
  <cellXfs count="391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/>
    </xf>
    <xf numFmtId="0" fontId="8" fillId="0" borderId="0" applyProtection="1" pivotButton="0" quotePrefix="0" xfId="0"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11" fillId="0" borderId="0" pivotButton="0" quotePrefix="0" xfId="0"/>
    <xf numFmtId="165" fontId="11" fillId="5" borderId="5" applyAlignment="1" applyProtection="1" pivotButton="0" quotePrefix="0" xfId="5">
      <alignment horizontal="center" vertical="center"/>
      <protection locked="0" hidden="0"/>
    </xf>
    <xf numFmtId="2" fontId="11" fillId="5" borderId="5" applyAlignment="1" pivotButton="0" quotePrefix="0" xfId="0">
      <alignment horizontal="center" vertical="center"/>
    </xf>
    <xf numFmtId="165" fontId="11" fillId="6" borderId="11" applyAlignment="1" applyProtection="1" pivotButton="0" quotePrefix="0" xfId="5">
      <alignment horizontal="center" vertical="center"/>
      <protection locked="0" hidden="0"/>
    </xf>
    <xf numFmtId="2" fontId="11" fillId="6" borderId="1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1" fillId="0" borderId="0" applyProtection="1" pivotButton="0" quotePrefix="0" xfId="0">
      <protection locked="0" hidden="0"/>
    </xf>
    <xf numFmtId="0" fontId="11" fillId="9" borderId="15" applyProtection="1" pivotButton="0" quotePrefix="0" xfId="0">
      <protection locked="0" hidden="0"/>
    </xf>
    <xf numFmtId="165" fontId="11" fillId="5" borderId="10" applyAlignment="1" applyProtection="1" pivotButton="0" quotePrefix="0" xfId="5">
      <alignment horizontal="center" vertical="center"/>
      <protection locked="0" hidden="0"/>
    </xf>
    <xf numFmtId="2" fontId="11" fillId="5" borderId="10" applyAlignment="1" pivotButton="0" quotePrefix="0" xfId="0">
      <alignment horizontal="center" vertical="center"/>
    </xf>
    <xf numFmtId="2" fontId="11" fillId="5" borderId="10" applyAlignment="1" applyProtection="1" pivotButton="0" quotePrefix="0" xfId="0">
      <alignment horizontal="center" vertical="center"/>
      <protection locked="0" hidden="0"/>
    </xf>
    <xf numFmtId="165" fontId="11" fillId="5" borderId="11" applyAlignment="1" applyProtection="1" pivotButton="0" quotePrefix="0" xfId="5">
      <alignment horizontal="center" vertical="center"/>
      <protection locked="0" hidden="0"/>
    </xf>
    <xf numFmtId="2" fontId="11" fillId="5" borderId="11" applyAlignment="1" pivotButton="0" quotePrefix="0" xfId="0">
      <alignment horizontal="center" vertical="center"/>
    </xf>
    <xf numFmtId="2" fontId="11" fillId="5" borderId="11" applyAlignment="1" applyProtection="1" pivotButton="0" quotePrefix="0" xfId="0">
      <alignment horizontal="center" vertical="center"/>
      <protection locked="0" hidden="0"/>
    </xf>
    <xf numFmtId="165" fontId="11" fillId="6" borderId="10" applyAlignment="1" applyProtection="1" pivotButton="0" quotePrefix="0" xfId="5">
      <alignment horizontal="center" vertical="center"/>
      <protection locked="0" hidden="0"/>
    </xf>
    <xf numFmtId="2" fontId="11" fillId="6" borderId="10" applyAlignment="1" pivotButton="0" quotePrefix="0" xfId="0">
      <alignment horizontal="center" vertical="center"/>
    </xf>
    <xf numFmtId="2" fontId="11" fillId="6" borderId="10" applyAlignment="1" applyProtection="1" pivotButton="0" quotePrefix="0" xfId="0">
      <alignment horizontal="center" vertical="center"/>
      <protection locked="0" hidden="0"/>
    </xf>
    <xf numFmtId="2" fontId="11" fillId="6" borderId="11" applyAlignment="1" pivotButton="0" quotePrefix="0" xfId="0">
      <alignment horizontal="center" vertical="center"/>
    </xf>
    <xf numFmtId="165" fontId="11" fillId="0" borderId="10" applyAlignment="1" applyProtection="1" pivotButton="0" quotePrefix="0" xfId="5">
      <alignment horizontal="center" vertical="center"/>
      <protection locked="0" hidden="0"/>
    </xf>
    <xf numFmtId="2" fontId="11" fillId="0" borderId="10" applyAlignment="1" applyProtection="1" pivotButton="0" quotePrefix="0" xfId="0">
      <alignment horizontal="center" vertical="center"/>
      <protection locked="0" hidden="0"/>
    </xf>
    <xf numFmtId="4" fontId="11" fillId="7" borderId="18" applyAlignment="1" pivotButton="0" quotePrefix="0" xfId="0">
      <alignment horizontal="center" vertical="center"/>
    </xf>
    <xf numFmtId="2" fontId="11" fillId="7" borderId="17" applyAlignment="1" pivotButton="0" quotePrefix="0" xfId="0">
      <alignment horizontal="center" vertical="center"/>
    </xf>
    <xf numFmtId="165" fontId="11" fillId="7" borderId="20" applyAlignment="1" applyProtection="1" pivotButton="0" quotePrefix="0" xfId="5">
      <alignment horizontal="center" vertical="center"/>
      <protection locked="0" hidden="0"/>
    </xf>
    <xf numFmtId="4" fontId="11" fillId="7" borderId="21" applyAlignment="1" pivotButton="0" quotePrefix="0" xfId="0">
      <alignment horizontal="center" vertical="center"/>
    </xf>
    <xf numFmtId="2" fontId="11" fillId="7" borderId="20" applyAlignment="1" pivotButton="0" quotePrefix="0" xfId="0">
      <alignment horizontal="center" vertical="center"/>
    </xf>
    <xf numFmtId="2" fontId="11" fillId="7" borderId="20" applyAlignment="1" applyProtection="1" pivotButton="0" quotePrefix="0" xfId="0">
      <alignment horizontal="center" vertical="center"/>
      <protection locked="0" hidden="0"/>
    </xf>
    <xf numFmtId="2" fontId="11" fillId="7" borderId="22" applyAlignment="1" applyProtection="1" pivotButton="0" quotePrefix="0" xfId="0">
      <alignment horizontal="center" vertical="center"/>
      <protection locked="0" hidden="0"/>
    </xf>
    <xf numFmtId="4" fontId="11" fillId="6" borderId="18" applyAlignment="1" pivotButton="0" quotePrefix="0" xfId="0">
      <alignment horizontal="center" vertical="center"/>
    </xf>
    <xf numFmtId="165" fontId="11" fillId="6" borderId="20" applyAlignment="1" applyProtection="1" pivotButton="0" quotePrefix="0" xfId="5">
      <alignment horizontal="center" vertical="center"/>
      <protection locked="0" hidden="0"/>
    </xf>
    <xf numFmtId="0" fontId="1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" fontId="11" fillId="0" borderId="0" applyAlignment="1" applyProtection="1" pivotButton="0" quotePrefix="0" xfId="2">
      <alignment horizontal="right" vertical="center"/>
      <protection locked="0" hidden="0"/>
    </xf>
    <xf numFmtId="4" fontId="11" fillId="0" borderId="0" applyAlignment="1" pivotButton="0" quotePrefix="0" xfId="2">
      <alignment horizontal="right" vertical="center"/>
    </xf>
    <xf numFmtId="4" fontId="11" fillId="5" borderId="0" applyAlignment="1" pivotButton="0" quotePrefix="0" xfId="0">
      <alignment horizontal="center" vertical="center"/>
    </xf>
    <xf numFmtId="2" fontId="11" fillId="5" borderId="34" applyAlignment="1" applyProtection="1" pivotButton="0" quotePrefix="0" xfId="0">
      <alignment horizontal="center" vertical="center"/>
      <protection locked="0" hidden="0"/>
    </xf>
    <xf numFmtId="165" fontId="11" fillId="11" borderId="17" applyAlignment="1" applyProtection="1" pivotButton="0" quotePrefix="0" xfId="5">
      <alignment horizontal="center" vertical="center"/>
      <protection locked="0" hidden="0"/>
    </xf>
    <xf numFmtId="4" fontId="11" fillId="11" borderId="18" applyAlignment="1" pivotButton="0" quotePrefix="0" xfId="0">
      <alignment horizontal="center" vertical="center"/>
    </xf>
    <xf numFmtId="2" fontId="11" fillId="11" borderId="17" applyAlignment="1" pivotButton="0" quotePrefix="0" xfId="0">
      <alignment horizontal="center" vertical="center"/>
    </xf>
    <xf numFmtId="2" fontId="11" fillId="11" borderId="17" applyAlignment="1" applyProtection="1" pivotButton="0" quotePrefix="0" xfId="0">
      <alignment horizontal="center" vertical="center"/>
      <protection locked="0" hidden="0"/>
    </xf>
    <xf numFmtId="2" fontId="11" fillId="11" borderId="19" applyAlignment="1" applyProtection="1" pivotButton="0" quotePrefix="0" xfId="0">
      <alignment horizontal="center" vertical="center"/>
      <protection locked="0" hidden="0"/>
    </xf>
    <xf numFmtId="165" fontId="11" fillId="11" borderId="20" applyAlignment="1" applyProtection="1" pivotButton="0" quotePrefix="0" xfId="5">
      <alignment horizontal="center" vertical="center"/>
      <protection locked="0" hidden="0"/>
    </xf>
    <xf numFmtId="4" fontId="11" fillId="11" borderId="21" applyAlignment="1" pivotButton="0" quotePrefix="0" xfId="0">
      <alignment horizontal="center" vertical="center"/>
    </xf>
    <xf numFmtId="2" fontId="11" fillId="11" borderId="20" applyAlignment="1" pivotButton="0" quotePrefix="0" xfId="0">
      <alignment horizontal="center" vertical="center"/>
    </xf>
    <xf numFmtId="2" fontId="11" fillId="11" borderId="20" applyAlignment="1" applyProtection="1" pivotButton="0" quotePrefix="0" xfId="0">
      <alignment horizontal="center" vertical="center"/>
      <protection locked="0" hidden="0"/>
    </xf>
    <xf numFmtId="2" fontId="11" fillId="11" borderId="22" applyAlignment="1" applyProtection="1" pivotButton="0" quotePrefix="0" xfId="0">
      <alignment horizontal="center" vertical="center"/>
      <protection locked="0" hidden="0"/>
    </xf>
    <xf numFmtId="165" fontId="11" fillId="9" borderId="10" applyAlignment="1" applyProtection="1" pivotButton="0" quotePrefix="0" xfId="5">
      <alignment horizontal="center" vertical="center"/>
      <protection locked="0" hidden="0"/>
    </xf>
    <xf numFmtId="2" fontId="11" fillId="9" borderId="10" applyAlignment="1" pivotButton="0" quotePrefix="0" xfId="0">
      <alignment horizontal="center" vertical="center"/>
    </xf>
    <xf numFmtId="2" fontId="11" fillId="9" borderId="10" applyAlignment="1" applyProtection="1" pivotButton="0" quotePrefix="0" xfId="0">
      <alignment horizontal="center" vertical="center"/>
      <protection locked="0" hidden="0"/>
    </xf>
    <xf numFmtId="165" fontId="11" fillId="9" borderId="11" applyAlignment="1" applyProtection="1" pivotButton="0" quotePrefix="0" xfId="5">
      <alignment horizontal="center" vertical="center"/>
      <protection locked="0" hidden="0"/>
    </xf>
    <xf numFmtId="2" fontId="11" fillId="9" borderId="11" applyAlignment="1" pivotButton="0" quotePrefix="0" xfId="0">
      <alignment horizontal="center" vertical="center"/>
    </xf>
    <xf numFmtId="2" fontId="11" fillId="9" borderId="11" applyAlignment="1" applyProtection="1" pivotButton="0" quotePrefix="0" xfId="0">
      <alignment horizontal="center" vertical="center"/>
      <protection locked="0" hidden="0"/>
    </xf>
    <xf numFmtId="165" fontId="11" fillId="12" borderId="17" applyAlignment="1" applyProtection="1" pivotButton="0" quotePrefix="0" xfId="5">
      <alignment horizontal="center" vertical="center"/>
      <protection locked="0" hidden="0"/>
    </xf>
    <xf numFmtId="4" fontId="11" fillId="12" borderId="18" applyAlignment="1" pivotButton="0" quotePrefix="0" xfId="0">
      <alignment horizontal="center" vertical="center"/>
    </xf>
    <xf numFmtId="2" fontId="11" fillId="12" borderId="17" applyAlignment="1" pivotButton="0" quotePrefix="0" xfId="0">
      <alignment horizontal="center" vertical="center"/>
    </xf>
    <xf numFmtId="2" fontId="11" fillId="12" borderId="17" applyAlignment="1" applyProtection="1" pivotButton="0" quotePrefix="0" xfId="0">
      <alignment horizontal="center" vertical="center"/>
      <protection locked="0" hidden="0"/>
    </xf>
    <xf numFmtId="2" fontId="11" fillId="12" borderId="19" applyAlignment="1" applyProtection="1" pivotButton="0" quotePrefix="0" xfId="0">
      <alignment horizontal="center" vertical="center"/>
      <protection locked="0" hidden="0"/>
    </xf>
    <xf numFmtId="165" fontId="11" fillId="12" borderId="20" applyAlignment="1" applyProtection="1" pivotButton="0" quotePrefix="0" xfId="5">
      <alignment horizontal="center" vertical="center"/>
      <protection locked="0" hidden="0"/>
    </xf>
    <xf numFmtId="4" fontId="11" fillId="12" borderId="21" applyAlignment="1" pivotButton="0" quotePrefix="0" xfId="0">
      <alignment horizontal="center" vertical="center"/>
    </xf>
    <xf numFmtId="2" fontId="11" fillId="12" borderId="20" applyAlignment="1" pivotButton="0" quotePrefix="0" xfId="0">
      <alignment horizontal="center" vertical="center"/>
    </xf>
    <xf numFmtId="2" fontId="11" fillId="12" borderId="20" applyAlignment="1" applyProtection="1" pivotButton="0" quotePrefix="0" xfId="0">
      <alignment horizontal="center" vertical="center"/>
      <protection locked="0" hidden="0"/>
    </xf>
    <xf numFmtId="2" fontId="11" fillId="12" borderId="22" applyAlignment="1" applyProtection="1" pivotButton="0" quotePrefix="0" xfId="0">
      <alignment horizontal="center" vertical="center"/>
      <protection locked="0" hidden="0"/>
    </xf>
    <xf numFmtId="165" fontId="11" fillId="13" borderId="17" applyAlignment="1" applyProtection="1" pivotButton="0" quotePrefix="0" xfId="5">
      <alignment horizontal="center" vertical="center"/>
      <protection locked="0" hidden="0"/>
    </xf>
    <xf numFmtId="4" fontId="11" fillId="13" borderId="18" applyAlignment="1" pivotButton="0" quotePrefix="0" xfId="0">
      <alignment horizontal="center" vertical="center"/>
    </xf>
    <xf numFmtId="2" fontId="11" fillId="13" borderId="17" applyAlignment="1" pivotButton="0" quotePrefix="0" xfId="0">
      <alignment horizontal="center" vertical="center"/>
    </xf>
    <xf numFmtId="2" fontId="11" fillId="13" borderId="17" applyAlignment="1" applyProtection="1" pivotButton="0" quotePrefix="0" xfId="0">
      <alignment horizontal="center" vertical="center"/>
      <protection locked="0" hidden="0"/>
    </xf>
    <xf numFmtId="2" fontId="11" fillId="13" borderId="19" applyAlignment="1" applyProtection="1" pivotButton="0" quotePrefix="0" xfId="0">
      <alignment horizontal="center" vertical="center"/>
      <protection locked="0" hidden="0"/>
    </xf>
    <xf numFmtId="165" fontId="11" fillId="13" borderId="20" applyAlignment="1" applyProtection="1" pivotButton="0" quotePrefix="0" xfId="5">
      <alignment horizontal="center" vertical="center"/>
      <protection locked="0" hidden="0"/>
    </xf>
    <xf numFmtId="4" fontId="11" fillId="13" borderId="21" applyAlignment="1" pivotButton="0" quotePrefix="0" xfId="0">
      <alignment horizontal="center" vertical="center"/>
    </xf>
    <xf numFmtId="2" fontId="11" fillId="13" borderId="20" applyAlignment="1" pivotButton="0" quotePrefix="0" xfId="0">
      <alignment horizontal="center" vertical="center"/>
    </xf>
    <xf numFmtId="2" fontId="11" fillId="13" borderId="20" applyAlignment="1" applyProtection="1" pivotButton="0" quotePrefix="0" xfId="0">
      <alignment horizontal="center" vertical="center"/>
      <protection locked="0" hidden="0"/>
    </xf>
    <xf numFmtId="2" fontId="11" fillId="13" borderId="22" applyAlignment="1" applyProtection="1" pivotButton="0" quotePrefix="0" xfId="0">
      <alignment horizontal="center" vertical="center"/>
      <protection locked="0" hidden="0"/>
    </xf>
    <xf numFmtId="165" fontId="11" fillId="14" borderId="17" applyAlignment="1" applyProtection="1" pivotButton="0" quotePrefix="0" xfId="5">
      <alignment horizontal="center" vertical="center"/>
      <protection locked="0" hidden="0"/>
    </xf>
    <xf numFmtId="4" fontId="11" fillId="14" borderId="18" applyAlignment="1" pivotButton="0" quotePrefix="0" xfId="0">
      <alignment horizontal="center" vertical="center"/>
    </xf>
    <xf numFmtId="2" fontId="11" fillId="14" borderId="17" applyAlignment="1" pivotButton="0" quotePrefix="0" xfId="0">
      <alignment horizontal="center" vertical="center"/>
    </xf>
    <xf numFmtId="2" fontId="11" fillId="14" borderId="17" applyAlignment="1" applyProtection="1" pivotButton="0" quotePrefix="0" xfId="0">
      <alignment horizontal="center" vertical="center"/>
      <protection locked="0" hidden="0"/>
    </xf>
    <xf numFmtId="2" fontId="11" fillId="14" borderId="19" applyAlignment="1" applyProtection="1" pivotButton="0" quotePrefix="0" xfId="0">
      <alignment horizontal="center" vertical="center"/>
      <protection locked="0" hidden="0"/>
    </xf>
    <xf numFmtId="165" fontId="11" fillId="14" borderId="20" applyAlignment="1" applyProtection="1" pivotButton="0" quotePrefix="0" xfId="5">
      <alignment horizontal="center" vertical="center"/>
      <protection locked="0" hidden="0"/>
    </xf>
    <xf numFmtId="4" fontId="11" fillId="14" borderId="21" applyAlignment="1" pivotButton="0" quotePrefix="0" xfId="0">
      <alignment horizontal="center" vertical="center"/>
    </xf>
    <xf numFmtId="2" fontId="11" fillId="14" borderId="20" applyAlignment="1" pivotButton="0" quotePrefix="0" xfId="0">
      <alignment horizontal="center" vertical="center"/>
    </xf>
    <xf numFmtId="2" fontId="11" fillId="14" borderId="20" applyAlignment="1" applyProtection="1" pivotButton="0" quotePrefix="0" xfId="0">
      <alignment horizontal="center" vertical="center"/>
      <protection locked="0" hidden="0"/>
    </xf>
    <xf numFmtId="2" fontId="11" fillId="14" borderId="22" applyAlignment="1" applyProtection="1" pivotButton="0" quotePrefix="0" xfId="0">
      <alignment horizontal="center" vertical="center"/>
      <protection locked="0" hidden="0"/>
    </xf>
    <xf numFmtId="165" fontId="11" fillId="15" borderId="10" applyAlignment="1" applyProtection="1" pivotButton="0" quotePrefix="0" xfId="5">
      <alignment horizontal="center" vertical="center"/>
      <protection locked="0" hidden="0"/>
    </xf>
    <xf numFmtId="2" fontId="11" fillId="15" borderId="10" applyAlignment="1" pivotButton="0" quotePrefix="0" xfId="0">
      <alignment horizontal="center" vertical="center"/>
    </xf>
    <xf numFmtId="2" fontId="11" fillId="15" borderId="10" applyAlignment="1" applyProtection="1" pivotButton="0" quotePrefix="0" xfId="0">
      <alignment horizontal="center" vertical="center"/>
      <protection locked="0" hidden="0"/>
    </xf>
    <xf numFmtId="165" fontId="11" fillId="15" borderId="11" applyAlignment="1" applyProtection="1" pivotButton="0" quotePrefix="0" xfId="5">
      <alignment horizontal="center" vertical="center"/>
      <protection locked="0" hidden="0"/>
    </xf>
    <xf numFmtId="2" fontId="11" fillId="15" borderId="11" applyAlignment="1" pivotButton="0" quotePrefix="0" xfId="0">
      <alignment horizontal="center" vertical="center"/>
    </xf>
    <xf numFmtId="2" fontId="11" fillId="15" borderId="11" applyAlignment="1" applyProtection="1" pivotButton="0" quotePrefix="0" xfId="0">
      <alignment horizontal="center" vertical="center"/>
      <protection locked="0" hidden="0"/>
    </xf>
    <xf numFmtId="165" fontId="11" fillId="7" borderId="24" applyAlignment="1" applyProtection="1" pivotButton="0" quotePrefix="0" xfId="5">
      <alignment horizontal="center" vertical="center"/>
      <protection locked="0" hidden="0"/>
    </xf>
    <xf numFmtId="2" fontId="11" fillId="7" borderId="24" applyAlignment="1" applyProtection="1" pivotButton="0" quotePrefix="0" xfId="0">
      <alignment horizontal="center" vertical="center"/>
      <protection locked="0" hidden="0"/>
    </xf>
    <xf numFmtId="2" fontId="11" fillId="7" borderId="25" applyAlignment="1" applyProtection="1" pivotButton="0" quotePrefix="0" xfId="0">
      <alignment horizontal="center" vertical="center"/>
      <protection locked="0" hidden="0"/>
    </xf>
    <xf numFmtId="2" fontId="11" fillId="5" borderId="5" applyAlignment="1" applyProtection="1" pivotButton="0" quotePrefix="0" xfId="0">
      <alignment horizontal="center" vertical="center"/>
      <protection locked="0" hidden="0"/>
    </xf>
    <xf numFmtId="165" fontId="11" fillId="5" borderId="27" applyAlignment="1" applyProtection="1" pivotButton="0" quotePrefix="0" xfId="5">
      <alignment horizontal="center" vertical="center"/>
      <protection locked="0" hidden="0"/>
    </xf>
    <xf numFmtId="2" fontId="11" fillId="5" borderId="27" applyAlignment="1" pivotButton="0" quotePrefix="0" xfId="0">
      <alignment horizontal="center" vertical="center"/>
    </xf>
    <xf numFmtId="2" fontId="11" fillId="5" borderId="27" applyAlignment="1" applyProtection="1" pivotButton="0" quotePrefix="0" xfId="0">
      <alignment horizontal="center" vertical="center"/>
      <protection locked="0" hidden="0"/>
    </xf>
    <xf numFmtId="165" fontId="11" fillId="6" borderId="17" applyAlignment="1" applyProtection="1" pivotButton="0" quotePrefix="0" xfId="5">
      <alignment horizontal="center" vertical="center"/>
      <protection locked="0" hidden="0"/>
    </xf>
    <xf numFmtId="2" fontId="11" fillId="6" borderId="17" applyAlignment="1" pivotButton="0" quotePrefix="0" xfId="0">
      <alignment horizontal="center" vertical="center"/>
    </xf>
    <xf numFmtId="2" fontId="11" fillId="6" borderId="17" applyAlignment="1" applyProtection="1" pivotButton="0" quotePrefix="0" xfId="0">
      <alignment horizontal="center" vertical="center"/>
      <protection locked="0" hidden="0"/>
    </xf>
    <xf numFmtId="2" fontId="11" fillId="6" borderId="19" applyAlignment="1" applyProtection="1" pivotButton="0" quotePrefix="0" xfId="0">
      <alignment horizontal="center" vertical="center"/>
      <protection locked="0" hidden="0"/>
    </xf>
    <xf numFmtId="4" fontId="11" fillId="6" borderId="0" applyAlignment="1" pivotButton="0" quotePrefix="0" xfId="0">
      <alignment horizontal="center" vertical="center"/>
    </xf>
    <xf numFmtId="2" fontId="11" fillId="6" borderId="34" applyAlignment="1" applyProtection="1" pivotButton="0" quotePrefix="0" xfId="0">
      <alignment horizontal="center" vertical="center"/>
      <protection locked="0" hidden="0"/>
    </xf>
    <xf numFmtId="166" fontId="14" fillId="13" borderId="41" applyAlignment="1" pivotButton="0" quotePrefix="0" xfId="0">
      <alignment horizontal="left" vertical="center"/>
    </xf>
    <xf numFmtId="166" fontId="14" fillId="13" borderId="42" applyAlignment="1" pivotButton="0" quotePrefix="0" xfId="0">
      <alignment horizontal="left" vertical="center"/>
    </xf>
    <xf numFmtId="166" fontId="14" fillId="5" borderId="40" applyAlignment="1" pivotButton="0" quotePrefix="0" xfId="0">
      <alignment horizontal="left" vertical="center"/>
    </xf>
    <xf numFmtId="2" fontId="11" fillId="5" borderId="43" applyAlignment="1" applyProtection="1" pivotButton="0" quotePrefix="0" xfId="0">
      <alignment horizontal="center" vertical="center"/>
      <protection locked="0" hidden="0"/>
    </xf>
    <xf numFmtId="166" fontId="14" fillId="11" borderId="41" applyAlignment="1" pivotButton="0" quotePrefix="0" xfId="0">
      <alignment horizontal="left" vertical="center"/>
    </xf>
    <xf numFmtId="166" fontId="14" fillId="11" borderId="42" applyAlignment="1" pivotButton="0" quotePrefix="0" xfId="0">
      <alignment horizontal="left" vertical="center"/>
    </xf>
    <xf numFmtId="166" fontId="14" fillId="9" borderId="40" applyAlignment="1" pivotButton="0" quotePrefix="0" xfId="0">
      <alignment horizontal="left" vertical="center"/>
    </xf>
    <xf numFmtId="4" fontId="11" fillId="9" borderId="0" applyAlignment="1" pivotButton="0" quotePrefix="0" xfId="0">
      <alignment horizontal="center" vertical="center"/>
    </xf>
    <xf numFmtId="2" fontId="11" fillId="9" borderId="43" applyAlignment="1" applyProtection="1" pivotButton="0" quotePrefix="0" xfId="0">
      <alignment horizontal="center" vertical="center"/>
      <protection locked="0" hidden="0"/>
    </xf>
    <xf numFmtId="2" fontId="11" fillId="9" borderId="34" applyAlignment="1" applyProtection="1" pivotButton="0" quotePrefix="0" xfId="0">
      <alignment horizontal="center" vertical="center"/>
      <protection locked="0" hidden="0"/>
    </xf>
    <xf numFmtId="166" fontId="14" fillId="12" borderId="41" applyAlignment="1" pivotButton="0" quotePrefix="0" xfId="0">
      <alignment horizontal="left" vertical="center"/>
    </xf>
    <xf numFmtId="166" fontId="14" fillId="12" borderId="42" applyAlignment="1" pivotButton="0" quotePrefix="0" xfId="0">
      <alignment horizontal="left" vertical="center"/>
    </xf>
    <xf numFmtId="167" fontId="11" fillId="0" borderId="0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166" fontId="14" fillId="6" borderId="40" applyAlignment="1" pivotButton="0" quotePrefix="0" xfId="0">
      <alignment horizontal="left" vertical="center"/>
    </xf>
    <xf numFmtId="2" fontId="11" fillId="6" borderId="43" applyAlignment="1" applyProtection="1" pivotButton="0" quotePrefix="0" xfId="0">
      <alignment horizontal="center" vertical="center"/>
      <protection locked="0" hidden="0"/>
    </xf>
    <xf numFmtId="166" fontId="14" fillId="14" borderId="41" applyAlignment="1" pivotButton="0" quotePrefix="0" xfId="0">
      <alignment horizontal="left" vertical="center"/>
    </xf>
    <xf numFmtId="166" fontId="14" fillId="14" borderId="42" applyAlignment="1" pivotButton="0" quotePrefix="0" xfId="0">
      <alignment horizontal="left" vertical="center"/>
    </xf>
    <xf numFmtId="166" fontId="14" fillId="15" borderId="40" applyAlignment="1" pivotButton="0" quotePrefix="0" xfId="0">
      <alignment horizontal="left" vertical="center"/>
    </xf>
    <xf numFmtId="4" fontId="11" fillId="15" borderId="0" applyAlignment="1" pivotButton="0" quotePrefix="0" xfId="0">
      <alignment horizontal="center" vertical="center"/>
    </xf>
    <xf numFmtId="2" fontId="11" fillId="15" borderId="43" applyAlignment="1" applyProtection="1" pivotButton="0" quotePrefix="0" xfId="0">
      <alignment horizontal="center" vertical="center"/>
      <protection locked="0" hidden="0"/>
    </xf>
    <xf numFmtId="2" fontId="11" fillId="15" borderId="34" applyAlignment="1" applyProtection="1" pivotButton="0" quotePrefix="0" xfId="0">
      <alignment horizontal="center" vertical="center"/>
      <protection locked="0" hidden="0"/>
    </xf>
    <xf numFmtId="166" fontId="14" fillId="7" borderId="41" applyAlignment="1" pivotButton="0" quotePrefix="0" xfId="0">
      <alignment horizontal="left" vertical="center"/>
    </xf>
    <xf numFmtId="166" fontId="14" fillId="7" borderId="44" applyAlignment="1" pivotButton="0" quotePrefix="0" xfId="0">
      <alignment horizontal="left" vertical="center"/>
    </xf>
    <xf numFmtId="165" fontId="11" fillId="0" borderId="0" applyAlignment="1" applyProtection="1" pivotButton="0" quotePrefix="0" xfId="5">
      <alignment horizontal="center" vertical="center"/>
      <protection locked="0" hidden="0"/>
    </xf>
    <xf numFmtId="2" fontId="11" fillId="8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2" fontId="11" fillId="0" borderId="0" applyAlignment="1" applyProtection="1" pivotButton="0" quotePrefix="0" xfId="0">
      <alignment horizontal="center" vertical="center"/>
      <protection locked="0" hidden="0"/>
    </xf>
    <xf numFmtId="2" fontId="11" fillId="0" borderId="29" applyAlignment="1" applyProtection="1" pivotButton="0" quotePrefix="0" xfId="0">
      <alignment horizontal="center" vertical="center"/>
      <protection locked="0" hidden="0"/>
    </xf>
    <xf numFmtId="166" fontId="14" fillId="5" borderId="45" applyAlignment="1" pivotButton="0" quotePrefix="0" xfId="0">
      <alignment horizontal="left" vertical="center"/>
    </xf>
    <xf numFmtId="2" fontId="11" fillId="5" borderId="46" applyAlignment="1" applyProtection="1" pivotButton="0" quotePrefix="0" xfId="0">
      <alignment horizontal="center" vertical="center"/>
      <protection locked="0" hidden="0"/>
    </xf>
    <xf numFmtId="2" fontId="11" fillId="5" borderId="47" applyAlignment="1" applyProtection="1" pivotButton="0" quotePrefix="0" xfId="0">
      <alignment horizontal="center" vertical="center"/>
      <protection locked="0" hidden="0"/>
    </xf>
    <xf numFmtId="166" fontId="14" fillId="6" borderId="41" applyAlignment="1" pivotButton="0" quotePrefix="0" xfId="0">
      <alignment horizontal="left" vertical="center"/>
    </xf>
    <xf numFmtId="166" fontId="14" fillId="6" borderId="42" applyAlignment="1" pivotButton="0" quotePrefix="0" xfId="0">
      <alignment horizontal="left" vertical="center"/>
    </xf>
    <xf numFmtId="167" fontId="11" fillId="0" borderId="20" applyAlignment="1" pivotButton="0" quotePrefix="0" xfId="0">
      <alignment horizontal="center" vertical="center"/>
    </xf>
    <xf numFmtId="167" fontId="11" fillId="0" borderId="22" applyAlignment="1" pivotButton="0" quotePrefix="0" xfId="0">
      <alignment horizontal="center" vertical="center"/>
    </xf>
    <xf numFmtId="4" fontId="0" fillId="0" borderId="26" pivotButton="0" quotePrefix="0" xfId="0"/>
    <xf numFmtId="2" fontId="11" fillId="13" borderId="9" applyAlignment="1" pivotButton="0" quotePrefix="0" xfId="0">
      <alignment horizontal="center" vertical="center"/>
    </xf>
    <xf numFmtId="2" fontId="11" fillId="5" borderId="9" applyAlignment="1" pivotButton="0" quotePrefix="0" xfId="0">
      <alignment horizontal="center" vertical="center"/>
    </xf>
    <xf numFmtId="2" fontId="11" fillId="11" borderId="9" applyAlignment="1" pivotButton="0" quotePrefix="0" xfId="0">
      <alignment horizontal="center" vertical="center"/>
    </xf>
    <xf numFmtId="2" fontId="11" fillId="9" borderId="9" applyAlignment="1" pivotButton="0" quotePrefix="0" xfId="0">
      <alignment horizontal="center" vertical="center"/>
    </xf>
    <xf numFmtId="2" fontId="11" fillId="12" borderId="9" applyAlignment="1" pivotButton="0" quotePrefix="0" xfId="0">
      <alignment horizontal="center" vertical="center"/>
    </xf>
    <xf numFmtId="2" fontId="11" fillId="6" borderId="9" applyAlignment="1" pivotButton="0" quotePrefix="0" xfId="0">
      <alignment horizontal="center" vertical="center"/>
    </xf>
    <xf numFmtId="2" fontId="11" fillId="14" borderId="9" applyAlignment="1" pivotButton="0" quotePrefix="0" xfId="0">
      <alignment horizontal="center" vertical="center"/>
    </xf>
    <xf numFmtId="2" fontId="11" fillId="15" borderId="9" applyAlignment="1" pivotButton="0" quotePrefix="0" xfId="0">
      <alignment horizontal="center" vertical="center"/>
    </xf>
    <xf numFmtId="2" fontId="11" fillId="7" borderId="9" applyAlignment="1" pivotButton="0" quotePrefix="0" xfId="0">
      <alignment horizontal="center" vertical="center"/>
    </xf>
    <xf numFmtId="2" fontId="11" fillId="6" borderId="33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 wrapText="1"/>
    </xf>
    <xf numFmtId="0" fontId="24" fillId="0" borderId="50" applyAlignment="1" pivotButton="0" quotePrefix="0" xfId="0">
      <alignment horizontal="center" vertical="center" wrapText="1"/>
    </xf>
    <xf numFmtId="0" fontId="24" fillId="16" borderId="50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3">
      <protection locked="0" hidden="0"/>
    </xf>
    <xf numFmtId="0" fontId="10" fillId="0" borderId="0" applyProtection="1" pivotButton="0" quotePrefix="0" xfId="3">
      <protection locked="0" hidden="0"/>
    </xf>
    <xf numFmtId="0" fontId="12" fillId="0" borderId="0" applyAlignment="1" applyProtection="1" pivotButton="0" quotePrefix="0" xfId="1">
      <alignment horizontal="right"/>
      <protection locked="0" hidden="0"/>
    </xf>
    <xf numFmtId="0" fontId="4" fillId="0" borderId="0" applyAlignment="1" applyProtection="1" pivotButton="0" quotePrefix="0" xfId="0">
      <alignment horizontal="right"/>
      <protection locked="0" hidden="0"/>
    </xf>
    <xf numFmtId="0" fontId="4" fillId="2" borderId="3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0" fontId="4" fillId="2" borderId="4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10" borderId="12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0" fontId="6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left" indent="1"/>
      <protection locked="0" hidden="0"/>
    </xf>
    <xf numFmtId="164" fontId="4" fillId="0" borderId="1" applyAlignment="1" applyProtection="1" pivotButton="0" quotePrefix="0" xfId="0">
      <alignment horizontal="center"/>
      <protection locked="0" hidden="0"/>
    </xf>
    <xf numFmtId="0" fontId="15" fillId="0" borderId="0" applyAlignment="1" applyProtection="1" pivotButton="0" quotePrefix="0" xfId="0">
      <alignment horizontal="right"/>
      <protection locked="0" hidden="0"/>
    </xf>
    <xf numFmtId="0" fontId="0" fillId="4" borderId="5" applyAlignment="1" applyProtection="1" pivotButton="0" quotePrefix="0" xfId="0">
      <alignment vertical="center"/>
      <protection locked="0" hidden="0"/>
    </xf>
    <xf numFmtId="0" fontId="0" fillId="4" borderId="35" applyAlignment="1" applyProtection="1" pivotButton="0" quotePrefix="0" xfId="0">
      <alignment vertical="center"/>
      <protection locked="0" hidden="0"/>
    </xf>
    <xf numFmtId="0" fontId="20" fillId="4" borderId="16" applyAlignment="1" applyProtection="1" pivotButton="0" quotePrefix="0" xfId="0">
      <alignment horizontal="center" vertical="center" wrapText="1"/>
      <protection locked="0" hidden="0"/>
    </xf>
    <xf numFmtId="0" fontId="21" fillId="4" borderId="17" applyAlignment="1" applyProtection="1" pivotButton="0" quotePrefix="0" xfId="0">
      <alignment horizontal="center" vertical="center" wrapText="1"/>
      <protection locked="0" hidden="0"/>
    </xf>
    <xf numFmtId="0" fontId="20" fillId="4" borderId="17" applyAlignment="1" applyProtection="1" pivotButton="0" quotePrefix="0" xfId="0">
      <alignment vertical="center"/>
      <protection locked="0" hidden="0"/>
    </xf>
    <xf numFmtId="0" fontId="20" fillId="4" borderId="17" applyAlignment="1" applyProtection="1" pivotButton="0" quotePrefix="0" xfId="0">
      <alignment horizontal="center" vertical="center" wrapText="1"/>
      <protection locked="0" hidden="0"/>
    </xf>
    <xf numFmtId="0" fontId="21" fillId="4" borderId="19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0" fillId="0" borderId="11" applyProtection="1" pivotButton="0" quotePrefix="0" xfId="0"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29" applyProtection="1" pivotButton="0" quotePrefix="0" xfId="0">
      <protection locked="0" hidden="0"/>
    </xf>
    <xf numFmtId="0" fontId="22" fillId="13" borderId="16" applyProtection="1" pivotButton="0" quotePrefix="0" xfId="0">
      <protection locked="0" hidden="0"/>
    </xf>
    <xf numFmtId="0" fontId="0" fillId="13" borderId="36" applyProtection="1" pivotButton="0" quotePrefix="0" xfId="0">
      <protection locked="0" hidden="0"/>
    </xf>
    <xf numFmtId="165" fontId="11" fillId="13" borderId="17" applyAlignment="1" pivotButton="0" quotePrefix="0" xfId="5">
      <alignment horizontal="center" vertical="center"/>
    </xf>
    <xf numFmtId="0" fontId="11" fillId="13" borderId="18" applyAlignment="1" applyProtection="1" pivotButton="0" quotePrefix="0" xfId="0">
      <alignment horizontal="center" vertical="center"/>
      <protection locked="0" hidden="0"/>
    </xf>
    <xf numFmtId="0" fontId="11" fillId="13" borderId="14" applyProtection="1" pivotButton="0" quotePrefix="0" xfId="0">
      <protection locked="0" hidden="0"/>
    </xf>
    <xf numFmtId="4" fontId="11" fillId="13" borderId="5" applyAlignment="1" applyProtection="1" pivotButton="0" quotePrefix="0" xfId="0">
      <alignment horizontal="center" vertical="center"/>
      <protection locked="0" hidden="0"/>
    </xf>
    <xf numFmtId="4" fontId="11" fillId="8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11" fillId="13" borderId="20" applyAlignment="1" pivotButton="0" quotePrefix="0" xfId="5">
      <alignment horizontal="center" vertical="center"/>
    </xf>
    <xf numFmtId="0" fontId="11" fillId="13" borderId="21" applyAlignment="1" applyProtection="1" pivotButton="0" quotePrefix="0" xfId="0">
      <alignment horizontal="center" vertical="center"/>
      <protection locked="0" hidden="0"/>
    </xf>
    <xf numFmtId="0" fontId="22" fillId="5" borderId="16" applyProtection="1" pivotButton="0" quotePrefix="0" xfId="0">
      <protection locked="0" hidden="0"/>
    </xf>
    <xf numFmtId="0" fontId="0" fillId="5" borderId="36" applyProtection="1" pivotButton="0" quotePrefix="0" xfId="0">
      <protection locked="0" hidden="0"/>
    </xf>
    <xf numFmtId="165" fontId="11" fillId="5" borderId="10" applyAlignment="1" pivotButton="0" quotePrefix="0" xfId="5">
      <alignment horizontal="center" vertical="center"/>
    </xf>
    <xf numFmtId="0" fontId="11" fillId="5" borderId="0" applyAlignment="1" applyProtection="1" pivotButton="0" quotePrefix="0" xfId="0">
      <alignment horizontal="center" vertical="center"/>
      <protection locked="0" hidden="0"/>
    </xf>
    <xf numFmtId="0" fontId="11" fillId="5" borderId="42" applyProtection="1" pivotButton="0" quotePrefix="0" xfId="0">
      <protection locked="0" hidden="0"/>
    </xf>
    <xf numFmtId="4" fontId="11" fillId="5" borderId="5" applyAlignment="1" applyProtection="1" pivotButton="0" quotePrefix="0" xfId="0">
      <alignment horizontal="center" vertical="center"/>
      <protection locked="0" hidden="0"/>
    </xf>
    <xf numFmtId="165" fontId="11" fillId="5" borderId="11" applyAlignment="1" pivotButton="0" quotePrefix="0" xfId="5">
      <alignment horizontal="center" vertical="center"/>
    </xf>
    <xf numFmtId="0" fontId="11" fillId="5" borderId="41" applyProtection="1" pivotButton="0" quotePrefix="0" xfId="0">
      <protection locked="0" hidden="0"/>
    </xf>
    <xf numFmtId="0" fontId="22" fillId="11" borderId="16" applyProtection="1" pivotButton="0" quotePrefix="0" xfId="0">
      <protection locked="0" hidden="0"/>
    </xf>
    <xf numFmtId="0" fontId="0" fillId="11" borderId="36" applyProtection="1" pivotButton="0" quotePrefix="0" xfId="0">
      <protection locked="0" hidden="0"/>
    </xf>
    <xf numFmtId="165" fontId="11" fillId="11" borderId="17" applyAlignment="1" pivotButton="0" quotePrefix="0" xfId="5">
      <alignment horizontal="center" vertical="center"/>
    </xf>
    <xf numFmtId="0" fontId="11" fillId="11" borderId="18" applyAlignment="1" applyProtection="1" pivotButton="0" quotePrefix="0" xfId="0">
      <alignment horizontal="center" vertical="center"/>
      <protection locked="0" hidden="0"/>
    </xf>
    <xf numFmtId="0" fontId="11" fillId="11" borderId="14" applyProtection="1" pivotButton="0" quotePrefix="0" xfId="0">
      <protection locked="0" hidden="0"/>
    </xf>
    <xf numFmtId="4" fontId="11" fillId="11" borderId="5" applyAlignment="1" applyProtection="1" pivotButton="0" quotePrefix="0" xfId="0">
      <alignment horizontal="center" vertical="center"/>
      <protection locked="0" hidden="0"/>
    </xf>
    <xf numFmtId="165" fontId="11" fillId="11" borderId="20" applyAlignment="1" pivotButton="0" quotePrefix="0" xfId="5">
      <alignment horizontal="center" vertical="center"/>
    </xf>
    <xf numFmtId="0" fontId="11" fillId="11" borderId="21" applyAlignment="1" applyProtection="1" pivotButton="0" quotePrefix="0" xfId="0">
      <alignment horizontal="center" vertical="center"/>
      <protection locked="0" hidden="0"/>
    </xf>
    <xf numFmtId="0" fontId="23" fillId="9" borderId="16" applyProtection="1" pivotButton="0" quotePrefix="0" xfId="0">
      <protection locked="0" hidden="0"/>
    </xf>
    <xf numFmtId="0" fontId="0" fillId="9" borderId="36" applyProtection="1" pivotButton="0" quotePrefix="0" xfId="0">
      <protection locked="0" hidden="0"/>
    </xf>
    <xf numFmtId="165" fontId="11" fillId="9" borderId="10" applyAlignment="1" pivotButton="0" quotePrefix="0" xfId="5">
      <alignment horizontal="center" vertical="center"/>
    </xf>
    <xf numFmtId="0" fontId="11" fillId="9" borderId="0" applyAlignment="1" applyProtection="1" pivotButton="0" quotePrefix="0" xfId="0">
      <alignment horizontal="center" vertical="center"/>
      <protection locked="0" hidden="0"/>
    </xf>
    <xf numFmtId="0" fontId="11" fillId="9" borderId="42" applyProtection="1" pivotButton="0" quotePrefix="0" xfId="0">
      <protection locked="0" hidden="0"/>
    </xf>
    <xf numFmtId="4" fontId="11" fillId="9" borderId="5" applyAlignment="1" applyProtection="1" pivotButton="0" quotePrefix="0" xfId="0">
      <alignment horizontal="center" vertical="center"/>
      <protection locked="0" hidden="0"/>
    </xf>
    <xf numFmtId="165" fontId="11" fillId="9" borderId="11" applyAlignment="1" pivotButton="0" quotePrefix="0" xfId="5">
      <alignment horizontal="center" vertical="center"/>
    </xf>
    <xf numFmtId="0" fontId="11" fillId="9" borderId="41" applyProtection="1" pivotButton="0" quotePrefix="0" xfId="0">
      <protection locked="0" hidden="0"/>
    </xf>
    <xf numFmtId="0" fontId="22" fillId="12" borderId="16" applyProtection="1" pivotButton="0" quotePrefix="0" xfId="0">
      <protection locked="0" hidden="0"/>
    </xf>
    <xf numFmtId="0" fontId="0" fillId="12" borderId="36" applyProtection="1" pivotButton="0" quotePrefix="0" xfId="0">
      <protection locked="0" hidden="0"/>
    </xf>
    <xf numFmtId="165" fontId="11" fillId="12" borderId="17" applyAlignment="1" pivotButton="0" quotePrefix="0" xfId="5">
      <alignment horizontal="center" vertical="center"/>
    </xf>
    <xf numFmtId="0" fontId="11" fillId="12" borderId="18" applyAlignment="1" applyProtection="1" pivotButton="0" quotePrefix="0" xfId="0">
      <alignment horizontal="center" vertical="center"/>
      <protection locked="0" hidden="0"/>
    </xf>
    <xf numFmtId="0" fontId="11" fillId="12" borderId="14" applyProtection="1" pivotButton="0" quotePrefix="0" xfId="0">
      <protection locked="0" hidden="0"/>
    </xf>
    <xf numFmtId="4" fontId="11" fillId="12" borderId="5" applyAlignment="1" applyProtection="1" pivotButton="0" quotePrefix="0" xfId="0">
      <alignment horizontal="center" vertical="center"/>
      <protection locked="0" hidden="0"/>
    </xf>
    <xf numFmtId="165" fontId="11" fillId="12" borderId="20" applyAlignment="1" pivotButton="0" quotePrefix="0" xfId="5">
      <alignment horizontal="center" vertical="center"/>
    </xf>
    <xf numFmtId="0" fontId="11" fillId="12" borderId="21" applyAlignment="1" applyProtection="1" pivotButton="0" quotePrefix="0" xfId="0">
      <alignment horizontal="center" vertical="center"/>
      <protection locked="0" hidden="0"/>
    </xf>
    <xf numFmtId="0" fontId="22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167" fontId="11" fillId="0" borderId="0" applyAlignment="1" applyProtection="1" pivotButton="0" quotePrefix="0" xfId="0">
      <alignment horizontal="center" vertical="center"/>
      <protection locked="0" hidden="0"/>
    </xf>
    <xf numFmtId="0" fontId="22" fillId="0" borderId="23" applyProtection="1" pivotButton="0" quotePrefix="0" xfId="0">
      <protection locked="0" hidden="0"/>
    </xf>
    <xf numFmtId="165" fontId="11" fillId="0" borderId="11" applyAlignment="1" pivotButton="0" quotePrefix="0" xfId="5">
      <alignment horizontal="center" vertical="center"/>
    </xf>
    <xf numFmtId="2" fontId="11" fillId="0" borderId="11" applyAlignment="1" pivotButton="0" quotePrefix="0" xfId="0">
      <alignment horizontal="center" vertical="center"/>
    </xf>
    <xf numFmtId="0" fontId="22" fillId="13" borderId="37" applyProtection="1" pivotButton="0" quotePrefix="0" xfId="0">
      <protection locked="0" hidden="0"/>
    </xf>
    <xf numFmtId="4" fontId="11" fillId="8" borderId="31" applyAlignment="1" applyProtection="1" pivotButton="0" quotePrefix="0" xfId="0">
      <alignment horizontal="center" vertical="center"/>
      <protection locked="0" hidden="0"/>
    </xf>
    <xf numFmtId="0" fontId="22" fillId="13" borderId="38" applyProtection="1" pivotButton="0" quotePrefix="0" xfId="0">
      <protection locked="0" hidden="0"/>
    </xf>
    <xf numFmtId="4" fontId="11" fillId="8" borderId="49" applyAlignment="1" applyProtection="1" pivotButton="0" quotePrefix="0" xfId="0">
      <alignment horizontal="center" vertical="center"/>
      <protection locked="0" hidden="0"/>
    </xf>
    <xf numFmtId="0" fontId="22" fillId="6" borderId="16" applyProtection="1" pivotButton="0" quotePrefix="0" xfId="0">
      <protection locked="0" hidden="0"/>
    </xf>
    <xf numFmtId="0" fontId="22" fillId="6" borderId="13" applyProtection="1" pivotButton="0" quotePrefix="0" xfId="0">
      <protection locked="0" hidden="0"/>
    </xf>
    <xf numFmtId="165" fontId="11" fillId="6" borderId="10" applyAlignment="1" pivotButton="0" quotePrefix="0" xfId="5">
      <alignment horizontal="center" vertical="center"/>
    </xf>
    <xf numFmtId="0" fontId="11" fillId="6" borderId="0" applyAlignment="1" applyProtection="1" pivotButton="0" quotePrefix="0" xfId="0">
      <alignment horizontal="center" vertical="center"/>
      <protection locked="0" hidden="0"/>
    </xf>
    <xf numFmtId="0" fontId="11" fillId="6" borderId="42" applyProtection="1" pivotButton="0" quotePrefix="0" xfId="0">
      <protection locked="0" hidden="0"/>
    </xf>
    <xf numFmtId="4" fontId="11" fillId="6" borderId="5" applyAlignment="1" applyProtection="1" pivotButton="0" quotePrefix="0" xfId="0">
      <alignment horizontal="center" vertical="center"/>
      <protection locked="0" hidden="0"/>
    </xf>
    <xf numFmtId="4" fontId="11" fillId="8" borderId="29" applyAlignment="1" applyProtection="1" pivotButton="0" quotePrefix="0" xfId="0">
      <alignment horizontal="center" vertical="center"/>
      <protection locked="0" hidden="0"/>
    </xf>
    <xf numFmtId="0" fontId="22" fillId="6" borderId="39" applyProtection="1" pivotButton="0" quotePrefix="0" xfId="0">
      <protection locked="0" hidden="0"/>
    </xf>
    <xf numFmtId="165" fontId="11" fillId="6" borderId="11" applyAlignment="1" pivotButton="0" quotePrefix="0" xfId="5">
      <alignment horizontal="center" vertical="center"/>
    </xf>
    <xf numFmtId="0" fontId="11" fillId="6" borderId="41" applyProtection="1" pivotButton="0" quotePrefix="0" xfId="0">
      <protection locked="0" hidden="0"/>
    </xf>
    <xf numFmtId="0" fontId="22" fillId="11" borderId="37" applyProtection="1" pivotButton="0" quotePrefix="0" xfId="0">
      <protection locked="0" hidden="0"/>
    </xf>
    <xf numFmtId="0" fontId="22" fillId="11" borderId="38" applyProtection="1" pivotButton="0" quotePrefix="0" xfId="0">
      <protection locked="0" hidden="0"/>
    </xf>
    <xf numFmtId="0" fontId="22" fillId="5" borderId="13" applyProtection="1" pivotButton="0" quotePrefix="0" xfId="0">
      <protection locked="0" hidden="0"/>
    </xf>
    <xf numFmtId="0" fontId="22" fillId="5" borderId="39" applyProtection="1" pivotButton="0" quotePrefix="0" xfId="0">
      <protection locked="0" hidden="0"/>
    </xf>
    <xf numFmtId="0" fontId="22" fillId="14" borderId="16" applyProtection="1" pivotButton="0" quotePrefix="0" xfId="0">
      <protection locked="0" hidden="0"/>
    </xf>
    <xf numFmtId="0" fontId="22" fillId="14" borderId="37" applyProtection="1" pivotButton="0" quotePrefix="0" xfId="0">
      <protection locked="0" hidden="0"/>
    </xf>
    <xf numFmtId="165" fontId="11" fillId="14" borderId="17" applyAlignment="1" pivotButton="0" quotePrefix="0" xfId="5">
      <alignment horizontal="center" vertical="center"/>
    </xf>
    <xf numFmtId="0" fontId="11" fillId="14" borderId="18" applyAlignment="1" applyProtection="1" pivotButton="0" quotePrefix="0" xfId="0">
      <alignment horizontal="center" vertical="center"/>
      <protection locked="0" hidden="0"/>
    </xf>
    <xf numFmtId="0" fontId="11" fillId="14" borderId="14" applyProtection="1" pivotButton="0" quotePrefix="0" xfId="0">
      <protection locked="0" hidden="0"/>
    </xf>
    <xf numFmtId="4" fontId="11" fillId="14" borderId="5" applyAlignment="1" applyProtection="1" pivotButton="0" quotePrefix="0" xfId="0">
      <alignment horizontal="center" vertical="center"/>
      <protection locked="0" hidden="0"/>
    </xf>
    <xf numFmtId="0" fontId="22" fillId="14" borderId="38" applyProtection="1" pivotButton="0" quotePrefix="0" xfId="0">
      <protection locked="0" hidden="0"/>
    </xf>
    <xf numFmtId="165" fontId="11" fillId="14" borderId="20" applyAlignment="1" pivotButton="0" quotePrefix="0" xfId="5">
      <alignment horizontal="center" vertical="center"/>
    </xf>
    <xf numFmtId="0" fontId="11" fillId="14" borderId="21" applyAlignment="1" applyProtection="1" pivotButton="0" quotePrefix="0" xfId="0">
      <alignment horizontal="center" vertical="center"/>
      <protection locked="0" hidden="0"/>
    </xf>
    <xf numFmtId="0" fontId="22" fillId="15" borderId="16" applyProtection="1" pivotButton="0" quotePrefix="0" xfId="0">
      <protection locked="0" hidden="0"/>
    </xf>
    <xf numFmtId="0" fontId="22" fillId="15" borderId="13" applyProtection="1" pivotButton="0" quotePrefix="0" xfId="0">
      <protection locked="0" hidden="0"/>
    </xf>
    <xf numFmtId="165" fontId="11" fillId="15" borderId="10" applyAlignment="1" pivotButton="0" quotePrefix="0" xfId="5">
      <alignment horizontal="center" vertical="center"/>
    </xf>
    <xf numFmtId="0" fontId="11" fillId="15" borderId="0" applyAlignment="1" applyProtection="1" pivotButton="0" quotePrefix="0" xfId="0">
      <alignment horizontal="center" vertical="center"/>
      <protection locked="0" hidden="0"/>
    </xf>
    <xf numFmtId="0" fontId="11" fillId="15" borderId="42" applyProtection="1" pivotButton="0" quotePrefix="0" xfId="0">
      <protection locked="0" hidden="0"/>
    </xf>
    <xf numFmtId="4" fontId="11" fillId="15" borderId="5" applyAlignment="1" applyProtection="1" pivotButton="0" quotePrefix="0" xfId="0">
      <alignment horizontal="center" vertical="center"/>
      <protection locked="0" hidden="0"/>
    </xf>
    <xf numFmtId="0" fontId="22" fillId="15" borderId="39" applyProtection="1" pivotButton="0" quotePrefix="0" xfId="0">
      <protection locked="0" hidden="0"/>
    </xf>
    <xf numFmtId="165" fontId="11" fillId="15" borderId="11" applyAlignment="1" pivotButton="0" quotePrefix="0" xfId="5">
      <alignment horizontal="center" vertical="center"/>
    </xf>
    <xf numFmtId="0" fontId="11" fillId="15" borderId="41" applyProtection="1" pivotButton="0" quotePrefix="0" xfId="0">
      <protection locked="0" hidden="0"/>
    </xf>
    <xf numFmtId="0" fontId="22" fillId="7" borderId="16" applyProtection="1" pivotButton="0" quotePrefix="0" xfId="0">
      <protection locked="0" hidden="0"/>
    </xf>
    <xf numFmtId="0" fontId="22" fillId="7" borderId="37" applyProtection="1" pivotButton="0" quotePrefix="0" xfId="0">
      <protection locked="0" hidden="0"/>
    </xf>
    <xf numFmtId="165" fontId="11" fillId="7" borderId="24" applyAlignment="1" pivotButton="0" quotePrefix="0" xfId="5">
      <alignment horizontal="center" vertical="center"/>
    </xf>
    <xf numFmtId="0" fontId="11" fillId="7" borderId="18" applyAlignment="1" applyProtection="1" pivotButton="0" quotePrefix="0" xfId="0">
      <alignment horizontal="center" vertical="center"/>
      <protection locked="0" hidden="0"/>
    </xf>
    <xf numFmtId="0" fontId="11" fillId="7" borderId="14" applyProtection="1" pivotButton="0" quotePrefix="0" xfId="0">
      <protection locked="0" hidden="0"/>
    </xf>
    <xf numFmtId="4" fontId="11" fillId="7" borderId="5" applyAlignment="1" applyProtection="1" pivotButton="0" quotePrefix="0" xfId="0">
      <alignment horizontal="center" vertical="center"/>
      <protection locked="0" hidden="0"/>
    </xf>
    <xf numFmtId="2" fontId="11" fillId="7" borderId="24" applyAlignment="1" pivotButton="0" quotePrefix="0" xfId="0">
      <alignment horizontal="center" vertical="center"/>
    </xf>
    <xf numFmtId="0" fontId="22" fillId="7" borderId="38" applyProtection="1" pivotButton="0" quotePrefix="0" xfId="0">
      <protection locked="0" hidden="0"/>
    </xf>
    <xf numFmtId="165" fontId="11" fillId="7" borderId="20" applyAlignment="1" pivotButton="0" quotePrefix="0" xfId="5">
      <alignment horizontal="center" vertical="center"/>
    </xf>
    <xf numFmtId="0" fontId="11" fillId="7" borderId="20" applyAlignment="1" applyProtection="1" pivotButton="0" quotePrefix="0" xfId="0">
      <alignment horizontal="center" vertical="center"/>
      <protection locked="0" hidden="0"/>
    </xf>
    <xf numFmtId="166" fontId="14" fillId="8" borderId="40" applyAlignment="1" applyProtection="1" pivotButton="0" quotePrefix="0" xfId="0">
      <alignment horizontal="left" vertical="center"/>
      <protection locked="0" hidden="0"/>
    </xf>
    <xf numFmtId="0" fontId="11" fillId="8" borderId="0" applyAlignment="1" applyProtection="1" pivotButton="0" quotePrefix="0" xfId="0">
      <alignment horizontal="center" vertical="center"/>
      <protection locked="0" hidden="0"/>
    </xf>
    <xf numFmtId="4" fontId="11" fillId="8" borderId="0" applyAlignment="1" applyProtection="1" pivotButton="0" quotePrefix="0" xfId="0">
      <alignment horizontal="center" vertical="center"/>
      <protection locked="0" hidden="0"/>
    </xf>
    <xf numFmtId="0" fontId="22" fillId="5" borderId="36" applyProtection="1" pivotButton="0" quotePrefix="0" xfId="0">
      <protection locked="0" hidden="0"/>
    </xf>
    <xf numFmtId="165" fontId="11" fillId="5" borderId="5" applyAlignment="1" pivotButton="0" quotePrefix="0" xfId="5">
      <alignment horizontal="center" vertical="center"/>
    </xf>
    <xf numFmtId="0" fontId="11" fillId="5" borderId="5" applyAlignment="1" applyProtection="1" pivotButton="0" quotePrefix="0" xfId="0">
      <alignment horizontal="center" vertical="center"/>
      <protection locked="0" hidden="0"/>
    </xf>
    <xf numFmtId="0" fontId="11" fillId="5" borderId="14" applyProtection="1" pivotButton="0" quotePrefix="0" xfId="0">
      <protection locked="0" hidden="0"/>
    </xf>
    <xf numFmtId="165" fontId="11" fillId="5" borderId="27" applyAlignment="1" pivotButton="0" quotePrefix="0" xfId="5">
      <alignment horizontal="center" vertical="center"/>
    </xf>
    <xf numFmtId="0" fontId="22" fillId="6" borderId="37" applyProtection="1" pivotButton="0" quotePrefix="0" xfId="0">
      <protection locked="0" hidden="0"/>
    </xf>
    <xf numFmtId="165" fontId="11" fillId="6" borderId="17" applyAlignment="1" pivotButton="0" quotePrefix="0" xfId="5">
      <alignment horizontal="center" vertical="center"/>
    </xf>
    <xf numFmtId="0" fontId="11" fillId="6" borderId="18" applyAlignment="1" applyProtection="1" pivotButton="0" quotePrefix="0" xfId="0">
      <alignment horizontal="center" vertical="center"/>
      <protection locked="0" hidden="0"/>
    </xf>
    <xf numFmtId="0" fontId="11" fillId="6" borderId="14" applyProtection="1" pivotButton="0" quotePrefix="0" xfId="0">
      <protection locked="0" hidden="0"/>
    </xf>
    <xf numFmtId="0" fontId="22" fillId="6" borderId="48" applyProtection="1" pivotButton="0" quotePrefix="0" xfId="0">
      <protection locked="0" hidden="0"/>
    </xf>
    <xf numFmtId="165" fontId="11" fillId="6" borderId="20" applyAlignment="1" pivotButton="0" quotePrefix="0" xfId="5">
      <alignment horizontal="center" vertical="center"/>
    </xf>
    <xf numFmtId="0" fontId="11" fillId="6" borderId="21" applyAlignment="1" applyProtection="1" pivotButton="0" quotePrefix="0" xfId="0">
      <alignment horizontal="center" vertical="center"/>
      <protection locked="0" hidden="0"/>
    </xf>
    <xf numFmtId="2" fontId="11" fillId="6" borderId="27" applyAlignment="1" pivotButton="0" quotePrefix="0" xfId="0">
      <alignment horizontal="center" vertical="center"/>
    </xf>
    <xf numFmtId="0" fontId="0" fillId="0" borderId="14" applyProtection="1" pivotButton="0" quotePrefix="0" xfId="0">
      <protection locked="0" hidden="0"/>
    </xf>
    <xf numFmtId="0" fontId="11" fillId="0" borderId="42" applyProtection="1" pivotButton="0" quotePrefix="0" xfId="0">
      <protection locked="0" hidden="0"/>
    </xf>
    <xf numFmtId="0" fontId="11" fillId="0" borderId="21" applyProtection="1" pivotButton="0" quotePrefix="0" xfId="0">
      <protection locked="0" hidden="0"/>
    </xf>
    <xf numFmtId="0" fontId="11" fillId="0" borderId="12" applyAlignment="1" applyProtection="1" pivotButton="0" quotePrefix="0" xfId="0">
      <alignment vertical="center"/>
      <protection locked="0" hidden="0"/>
    </xf>
    <xf numFmtId="0" fontId="11" fillId="0" borderId="20" applyAlignment="1" applyProtection="1" pivotButton="0" quotePrefix="0" xfId="0">
      <alignment horizontal="right" vertical="center"/>
      <protection locked="0" hidden="0"/>
    </xf>
    <xf numFmtId="0" fontId="11" fillId="0" borderId="28" applyAlignment="1" applyProtection="1" pivotButton="0" quotePrefix="0" xfId="0">
      <alignment horizontal="right" vertical="center"/>
      <protection locked="0" hidden="0"/>
    </xf>
    <xf numFmtId="4" fontId="16" fillId="8" borderId="0" applyAlignment="1" applyProtection="1" pivotButton="0" quotePrefix="0" xfId="2">
      <alignment horizontal="right" vertical="center"/>
      <protection locked="0" hidden="0"/>
    </xf>
    <xf numFmtId="0" fontId="11" fillId="8" borderId="0" applyProtection="1" pivotButton="0" quotePrefix="0" xfId="0">
      <protection locked="0" hidden="0"/>
    </xf>
    <xf numFmtId="0" fontId="14" fillId="8" borderId="0" applyAlignment="1" applyProtection="1" pivotButton="0" quotePrefix="0" xfId="0">
      <alignment horizontal="right" vertical="center"/>
      <protection locked="0" hidden="0"/>
    </xf>
    <xf numFmtId="0" fontId="18" fillId="0" borderId="0" applyAlignment="1" applyProtection="1" pivotButton="0" quotePrefix="0" xfId="0">
      <alignment horizontal="right" vertical="center"/>
      <protection locked="0" hidden="0"/>
    </xf>
    <xf numFmtId="0" fontId="4" fillId="0" borderId="0" applyProtection="1" pivotButton="0" quotePrefix="0" xfId="0">
      <protection locked="0" hidden="0"/>
    </xf>
    <xf numFmtId="4" fontId="24" fillId="0" borderId="0" applyAlignment="1" applyProtection="1" pivotButton="0" quotePrefix="0" xfId="2">
      <alignment horizontal="right" vertical="center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24" fillId="0" borderId="50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24" fillId="0" borderId="51" applyAlignment="1" applyProtection="1" pivotButton="0" quotePrefix="0" xfId="0">
      <alignment horizontal="left" vertical="center" wrapText="1"/>
      <protection locked="0" hidden="0"/>
    </xf>
    <xf numFmtId="0" fontId="0" fillId="0" borderId="51" applyProtection="1" pivotButton="0" quotePrefix="0" xfId="0">
      <protection locked="0" hidden="0"/>
    </xf>
    <xf numFmtId="0" fontId="24" fillId="0" borderId="51" applyProtection="1" pivotButton="0" quotePrefix="0" xfId="0">
      <protection locked="0" hidden="0"/>
    </xf>
    <xf numFmtId="0" fontId="27" fillId="0" borderId="0" pivotButton="0" quotePrefix="0" xfId="0"/>
    <xf numFmtId="0" fontId="26" fillId="0" borderId="51" applyAlignment="1" applyProtection="1" pivotButton="0" quotePrefix="0" xfId="0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1" applyAlignment="1" applyProtection="1" pivotButton="0" quotePrefix="0" xfId="0">
      <alignment horizontal="left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0" borderId="29" applyAlignment="1" applyProtection="1" pivotButton="0" quotePrefix="0" xfId="0">
      <alignment horizontal="center"/>
      <protection locked="0" hidden="0"/>
    </xf>
    <xf numFmtId="0" fontId="0" fillId="0" borderId="29" applyProtection="1" pivotButton="0" quotePrefix="0" xfId="0">
      <protection locked="0" hidden="0"/>
    </xf>
    <xf numFmtId="0" fontId="11" fillId="0" borderId="12" applyAlignment="1" applyProtection="1" pivotButton="0" quotePrefix="0" xfId="0">
      <alignment horizontal="center"/>
      <protection locked="0" hidden="0"/>
    </xf>
    <xf numFmtId="0" fontId="0" fillId="0" borderId="15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0" fontId="11" fillId="0" borderId="2" applyAlignment="1" applyProtection="1" pivotButton="0" quotePrefix="0" xfId="0">
      <alignment horizontal="left"/>
      <protection locked="0" hidden="0"/>
    </xf>
    <xf numFmtId="0" fontId="0" fillId="0" borderId="2" applyProtection="1" pivotButton="0" quotePrefix="0" xfId="0">
      <protection locked="0" hidden="0"/>
    </xf>
    <xf numFmtId="0" fontId="19" fillId="4" borderId="12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168" fontId="7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14" fontId="16" fillId="0" borderId="2" applyAlignment="1" applyProtection="1" pivotButton="0" quotePrefix="0" xfId="0">
      <alignment horizontal="right"/>
      <protection locked="0" hidden="0"/>
    </xf>
    <xf numFmtId="14" fontId="14" fillId="0" borderId="2" applyAlignment="1" applyProtection="1" pivotButton="0" quotePrefix="0" xfId="0">
      <alignment horizontal="left" indent="1"/>
      <protection locked="0" hidden="0"/>
    </xf>
    <xf numFmtId="0" fontId="11" fillId="9" borderId="5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11" fillId="10" borderId="10" applyAlignment="1" applyProtection="1" pivotButton="0" quotePrefix="0" xfId="0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11" fillId="8" borderId="0" applyAlignment="1" applyProtection="1" pivotButton="0" quotePrefix="0" xfId="0">
      <alignment horizontal="center"/>
      <protection locked="0" hidden="0"/>
    </xf>
    <xf numFmtId="43" fontId="17" fillId="8" borderId="0" applyAlignment="1" applyProtection="1" pivotButton="0" quotePrefix="0" xfId="2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16" fillId="0" borderId="2" applyAlignment="1" applyProtection="1" pivotButton="0" quotePrefix="0" xfId="0">
      <alignment horizontal="right"/>
      <protection locked="0" hidden="0"/>
    </xf>
    <xf numFmtId="0" fontId="0" fillId="0" borderId="7" applyProtection="1" pivotButton="0" quotePrefix="0" xfId="0">
      <protection locked="0" hidden="0"/>
    </xf>
    <xf numFmtId="168" fontId="7" fillId="3" borderId="1" applyAlignment="1" pivotButton="0" quotePrefix="0" xfId="0">
      <alignment horizontal="center"/>
    </xf>
    <xf numFmtId="166" fontId="14" fillId="13" borderId="41" applyAlignment="1" pivotButton="0" quotePrefix="0" xfId="0">
      <alignment horizontal="left" vertical="center"/>
    </xf>
    <xf numFmtId="166" fontId="14" fillId="13" borderId="42" applyAlignment="1" pivotButton="0" quotePrefix="0" xfId="0">
      <alignment horizontal="left" vertical="center"/>
    </xf>
    <xf numFmtId="166" fontId="14" fillId="5" borderId="40" applyAlignment="1" pivotButton="0" quotePrefix="0" xfId="0">
      <alignment horizontal="left" vertical="center"/>
    </xf>
    <xf numFmtId="166" fontId="14" fillId="11" borderId="41" applyAlignment="1" pivotButton="0" quotePrefix="0" xfId="0">
      <alignment horizontal="left" vertical="center"/>
    </xf>
    <xf numFmtId="166" fontId="14" fillId="11" borderId="42" applyAlignment="1" pivotButton="0" quotePrefix="0" xfId="0">
      <alignment horizontal="left" vertical="center"/>
    </xf>
    <xf numFmtId="166" fontId="14" fillId="9" borderId="40" applyAlignment="1" pivotButton="0" quotePrefix="0" xfId="0">
      <alignment horizontal="left" vertical="center"/>
    </xf>
    <xf numFmtId="166" fontId="14" fillId="12" borderId="41" applyAlignment="1" pivotButton="0" quotePrefix="0" xfId="0">
      <alignment horizontal="left" vertical="center"/>
    </xf>
    <xf numFmtId="166" fontId="14" fillId="12" borderId="42" applyAlignment="1" pivotButton="0" quotePrefix="0" xfId="0">
      <alignment horizontal="left" vertical="center"/>
    </xf>
    <xf numFmtId="167" fontId="11" fillId="0" borderId="0" applyAlignment="1" pivotButton="0" quotePrefix="0" xfId="0">
      <alignment horizontal="center" vertical="center"/>
    </xf>
    <xf numFmtId="167" fontId="11" fillId="0" borderId="0" applyAlignment="1" applyProtection="1" pivotButton="0" quotePrefix="0" xfId="0">
      <alignment horizontal="center" vertical="center"/>
      <protection locked="0" hidden="0"/>
    </xf>
    <xf numFmtId="167" fontId="11" fillId="0" borderId="29" applyAlignment="1" pivotButton="0" quotePrefix="0" xfId="0">
      <alignment horizontal="center" vertical="center"/>
    </xf>
    <xf numFmtId="166" fontId="14" fillId="6" borderId="40" applyAlignment="1" pivotButton="0" quotePrefix="0" xfId="0">
      <alignment horizontal="left" vertical="center"/>
    </xf>
    <xf numFmtId="166" fontId="14" fillId="14" borderId="41" applyAlignment="1" pivotButton="0" quotePrefix="0" xfId="0">
      <alignment horizontal="left" vertical="center"/>
    </xf>
    <xf numFmtId="166" fontId="14" fillId="14" borderId="42" applyAlignment="1" pivotButton="0" quotePrefix="0" xfId="0">
      <alignment horizontal="left" vertical="center"/>
    </xf>
    <xf numFmtId="166" fontId="14" fillId="15" borderId="40" applyAlignment="1" pivotButton="0" quotePrefix="0" xfId="0">
      <alignment horizontal="left" vertical="center"/>
    </xf>
    <xf numFmtId="166" fontId="14" fillId="7" borderId="41" applyAlignment="1" pivotButton="0" quotePrefix="0" xfId="0">
      <alignment horizontal="left" vertical="center"/>
    </xf>
    <xf numFmtId="166" fontId="14" fillId="7" borderId="44" applyAlignment="1" pivotButton="0" quotePrefix="0" xfId="0">
      <alignment horizontal="left" vertical="center"/>
    </xf>
    <xf numFmtId="166" fontId="14" fillId="8" borderId="40" applyAlignment="1" applyProtection="1" pivotButton="0" quotePrefix="0" xfId="0">
      <alignment horizontal="left" vertical="center"/>
      <protection locked="0" hidden="0"/>
    </xf>
    <xf numFmtId="166" fontId="14" fillId="5" borderId="45" applyAlignment="1" pivotButton="0" quotePrefix="0" xfId="0">
      <alignment horizontal="left" vertical="center"/>
    </xf>
    <xf numFmtId="166" fontId="14" fillId="6" borderId="41" applyAlignment="1" pivotButton="0" quotePrefix="0" xfId="0">
      <alignment horizontal="left" vertical="center"/>
    </xf>
    <xf numFmtId="166" fontId="14" fillId="6" borderId="42" applyAlignment="1" pivotButton="0" quotePrefix="0" xfId="0">
      <alignment horizontal="left" vertical="center"/>
    </xf>
    <xf numFmtId="167" fontId="11" fillId="0" borderId="20" applyAlignment="1" pivotButton="0" quotePrefix="0" xfId="0">
      <alignment horizontal="center" vertical="center"/>
    </xf>
    <xf numFmtId="167" fontId="11" fillId="0" borderId="22" applyAlignment="1" pivotButton="0" quotePrefix="0" xfId="0">
      <alignment horizontal="center" vertical="center"/>
    </xf>
    <xf numFmtId="0" fontId="28" fillId="0" borderId="0" applyAlignment="1" applyProtection="1" pivotButton="0" quotePrefix="0" xfId="0">
      <alignment horizontal="right"/>
      <protection locked="0" hidden="0"/>
    </xf>
    <xf numFmtId="0" fontId="29" fillId="0" borderId="0" applyProtection="1" pivotButton="0" quotePrefix="0" xfId="0">
      <protection locked="0" hidden="0"/>
    </xf>
    <xf numFmtId="0" fontId="30" fillId="0" borderId="0" applyProtection="1" pivotButton="0" quotePrefix="0" xfId="0">
      <protection locked="0" hidden="0"/>
    </xf>
    <xf numFmtId="0" fontId="28" fillId="0" borderId="0" applyProtection="1" pivotButton="0" quotePrefix="0" xfId="0">
      <protection locked="0" hidden="0"/>
    </xf>
    <xf numFmtId="0" fontId="31" fillId="0" borderId="0" applyProtection="1" pivotButton="0" quotePrefix="0" xfId="0">
      <protection locked="0" hidden="0"/>
    </xf>
    <xf numFmtId="0" fontId="32" fillId="0" borderId="0" pivotButton="0" quotePrefix="0" xfId="0"/>
    <xf numFmtId="0" fontId="28" fillId="0" borderId="0" pivotButton="0" quotePrefix="0" xfId="0"/>
    <xf numFmtId="0" fontId="33" fillId="0" borderId="0" pivotButton="0" quotePrefix="0" xfId="0"/>
    <xf numFmtId="0" fontId="31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7" borderId="59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0" fillId="0" borderId="59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36" fillId="17" borderId="59" applyAlignment="1" pivotButton="0" quotePrefix="0" xfId="0">
      <alignment horizontal="center" wrapText="1"/>
    </xf>
    <xf numFmtId="0" fontId="40" fillId="18" borderId="59" applyAlignment="1" pivotButton="0" quotePrefix="0" xfId="0">
      <alignment horizontal="center"/>
    </xf>
    <xf numFmtId="0" fontId="41" fillId="0" borderId="0" pivotButton="0" quotePrefix="0" xfId="0"/>
  </cellXfs>
  <cellStyles count="6">
    <cellStyle name="Normal" xfId="0" builtinId="0"/>
    <cellStyle name="Comma" xfId="1" builtinId="3"/>
    <cellStyle name="Currency" xfId="2" builtinId="4"/>
    <cellStyle name="Hyperlink" xfId="3" builtinId="8"/>
    <cellStyle name="Normal 2" xfId="4"/>
    <cellStyle name="Normal_Shee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99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FF3"/>
      <rgbColor rgb="001849B5"/>
      <rgbColor rgb="0036ACA2"/>
      <rgbColor rgb="00F0BA00"/>
      <rgbColor rgb="00BCD5E1"/>
      <rgbColor rgb="0083B3C9"/>
      <rgbColor rgb="00346378"/>
      <rgbColor rgb="0087533B"/>
      <rgbColor rgb="00C0C0C0"/>
      <rgbColor rgb="00003366"/>
      <rgbColor rgb="00109618"/>
      <rgbColor rgb="00085108"/>
      <rgbColor rgb="00635100"/>
      <rgbColor rgb="0023414F"/>
      <rgbColor rgb="00E1C8BC"/>
      <rgbColor rgb="005937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Timesheet With Break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46378"/>
      </a:accent1>
      <a:accent2>
        <a:srgbClr val="B04340"/>
      </a:accent2>
      <a:accent3>
        <a:srgbClr val="405BB0"/>
      </a:accent3>
      <a:accent4>
        <a:srgbClr val="40B04D"/>
      </a:accent4>
      <a:accent5>
        <a:srgbClr val="7860B4"/>
      </a:accent5>
      <a:accent6>
        <a:srgbClr val="B07540"/>
      </a:accent6>
      <a:hlink>
        <a:srgbClr val="0000FF"/>
      </a:hlink>
      <a:folHlink>
        <a:srgbClr val="80008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8" customWidth="1" min="12" max="12"/>
    <col width="10" customWidth="1" min="13" max="13"/>
    <col width="16" customWidth="1" min="14" max="14"/>
  </cols>
  <sheetData>
    <row r="1">
      <c r="A1" s="380" t="inlineStr">
        <is>
          <t>📊 WORK HOURS SUMMARY</t>
        </is>
      </c>
    </row>
    <row r="2">
      <c r="A2" s="381" t="inlineStr">
        <is>
          <t>Pay Period: 1-15/16 Jan 2026 | Total Employees: 29</t>
        </is>
      </c>
    </row>
    <row r="4">
      <c r="A4" s="388" t="inlineStr">
        <is>
          <t>#</t>
        </is>
      </c>
      <c r="B4" s="388" t="inlineStr">
        <is>
          <t>Employee Name</t>
        </is>
      </c>
      <c r="C4" s="388" t="inlineStr">
        <is>
          <t>Emp #</t>
        </is>
      </c>
      <c r="D4" s="388" t="inlineStr">
        <is>
          <t>Total Hrs</t>
        </is>
      </c>
      <c r="E4" s="388" t="inlineStr">
        <is>
          <t>Days Wkd</t>
        </is>
      </c>
      <c r="F4" s="388" t="inlineStr">
        <is>
          <t>Daily &gt;12</t>
        </is>
      </c>
      <c r="G4" s="388" t="inlineStr">
        <is>
          <t>Wkly &gt;60</t>
        </is>
      </c>
      <c r="H4" s="388" t="inlineStr">
        <is>
          <t>7+ Days</t>
        </is>
      </c>
      <c r="I4" s="388" t="inlineStr">
        <is>
          <t>OT &gt;40</t>
        </is>
      </c>
      <c r="J4" s="388" t="inlineStr">
        <is>
          <t>Wkly &lt;40</t>
        </is>
      </c>
      <c r="K4" s="388" t="inlineStr">
        <is>
          <t>Daily &lt;8</t>
        </is>
      </c>
      <c r="L4" s="388" t="inlineStr">
        <is>
          <t>Days &lt;5</t>
        </is>
      </c>
      <c r="M4" s="388" t="inlineStr">
        <is>
          <t>Period &lt;80</t>
        </is>
      </c>
      <c r="N4" s="388" t="inlineStr">
        <is>
          <t>STATUS</t>
        </is>
      </c>
    </row>
    <row r="5">
      <c r="A5" s="383" t="n">
        <v>1</v>
      </c>
      <c r="B5" s="384" t="inlineStr">
        <is>
          <t>Abel, Natalie</t>
        </is>
      </c>
      <c r="C5" s="383" t="inlineStr">
        <is>
          <t>4469</t>
        </is>
      </c>
      <c r="D5" s="383">
        <f>'Abel, Natalie'!I49</f>
        <v/>
      </c>
      <c r="E5" s="383">
        <f>'Abel, Natalie'!Q50</f>
        <v/>
      </c>
      <c r="F5" s="383">
        <f>SUMPRODUCT((('Abel, Natalie'!I14+'Abel, Natalie'!I15)&gt;12)*1)+SUMPRODUCT((('Abel, Natalie'!I16+'Abel, Natalie'!I17)&gt;12)*1)+SUMPRODUCT((('Abel, Natalie'!I18+'Abel, Natalie'!I19)&gt;12)*1)+SUMPRODUCT((('Abel, Natalie'!I20+'Abel, Natalie'!I21)&gt;12)*1)+SUMPRODUCT((('Abel, Natalie'!I22+'Abel, Natalie'!I23)&gt;12)*1)+SUMPRODUCT((('Abel, Natalie'!I24+'Abel, Natalie'!I25)&gt;12)*1)+SUMPRODUCT((('Abel, Natalie'!I26+'Abel, Natalie'!I27)&gt;12)*1)+SUMPRODUCT((('Abel, Natalie'!I30+'Abel, Natalie'!I31)&gt;12)*1)+SUMPRODUCT((('Abel, Natalie'!I32+'Abel, Natalie'!I33)&gt;12)*1)+SUMPRODUCT((('Abel, Natalie'!I34+'Abel, Natalie'!I35)&gt;12)*1)+SUMPRODUCT((('Abel, Natalie'!I36+'Abel, Natalie'!I37)&gt;12)*1)+SUMPRODUCT((('Abel, Natalie'!I38+'Abel, Natalie'!I39)&gt;12)*1)+SUMPRODUCT((('Abel, Natalie'!I40+'Abel, Natalie'!I41)&gt;12)*1)+SUMPRODUCT((('Abel, Natalie'!I42+'Abel, Natalie'!I43)&gt;12)*1)+SUMPRODUCT((('Abel, Natalie'!I45+'Abel, Natalie'!I46)&gt;12)*1)+SUMPRODUCT((('Abel, Natalie'!I47+'Abel, Natalie'!I48)&gt;12)*1)</f>
        <v/>
      </c>
      <c r="G5" s="383">
        <f>IF(MAX(SUM('Abel, Natalie'!I14:I27),SUM('Abel, Natalie'!I30:I43))&gt;60,"Yes","")</f>
        <v/>
      </c>
      <c r="H5" s="383">
        <f>IF(OR(AND(('Abel, Natalie'!I14+'Abel, Natalie'!I15)&gt;0,('Abel, Natalie'!I16+'Abel, Natalie'!I17)&gt;0,('Abel, Natalie'!I18+'Abel, Natalie'!I19)&gt;0,('Abel, Natalie'!I20+'Abel, Natalie'!I21)&gt;0,('Abel, Natalie'!I22+'Abel, Natalie'!I23)&gt;0,('Abel, Natalie'!I24+'Abel, Natalie'!I25)&gt;0,('Abel, Natalie'!I26+'Abel, Natalie'!I27)&gt;0),AND(('Abel, Natalie'!I30+'Abel, Natalie'!I31)&gt;0,('Abel, Natalie'!I32+'Abel, Natalie'!I33)&gt;0,('Abel, Natalie'!I34+'Abel, Natalie'!I35)&gt;0,('Abel, Natalie'!I36+'Abel, Natalie'!I37)&gt;0,('Abel, Natalie'!I38+'Abel, Natalie'!I39)&gt;0,('Abel, Natalie'!I40+'Abel, Natalie'!I41)&gt;0,('Abel, Natalie'!I42+'Abel, Natalie'!I43)&gt;0)),"Yes","")</f>
        <v/>
      </c>
      <c r="I5" s="383">
        <f>IF('Abel, Natalie'!N49&gt;40,"Yes","")</f>
        <v/>
      </c>
      <c r="J5" s="383">
        <f>IF(OR(AND(SUM('Abel, Natalie'!I14:I27)&gt;0,SUM('Abel, Natalie'!I14:I27)&lt;40),AND(SUM('Abel, Natalie'!I30:I43)&gt;0,SUM('Abel, Natalie'!I30:I43)&lt;40)),"Yes","")</f>
        <v/>
      </c>
      <c r="K5" s="383">
        <f>SUMPRODUCT(('Abel, Natalie'!I14:I48&gt;0)*('Abel, Natalie'!I14:I48&lt;8))</f>
        <v/>
      </c>
      <c r="L5" s="383">
        <f>IF('Abel, Natalie'!Q50&lt;5,"Yes","")</f>
        <v/>
      </c>
      <c r="M5" s="383">
        <f>IF(AND('Abel, Natalie'!I49&gt;0,'Abel, Natalie'!I49&lt;80),"Yes","")</f>
        <v/>
      </c>
      <c r="N5" s="383">
        <f>IF(OR(F5&gt;0,G5="Yes",H5="Yes",I5="Yes"),"⚠️ OVERWORK",IF(OR(J5="Yes",K5&gt;0,L5="Yes",M5="Yes"),"🔻 UNDERWORK","✓ OK"))</f>
        <v/>
      </c>
    </row>
    <row r="6">
      <c r="A6" s="383" t="n">
        <v>2</v>
      </c>
      <c r="B6" s="384" t="inlineStr">
        <is>
          <t>April, Candica Alicia</t>
        </is>
      </c>
      <c r="C6" s="383" t="inlineStr">
        <is>
          <t>5255</t>
        </is>
      </c>
      <c r="D6" s="383">
        <f>'April, Candica'!I49</f>
        <v/>
      </c>
      <c r="E6" s="383">
        <f>'April, Candica'!Q50</f>
        <v/>
      </c>
      <c r="F6" s="383">
        <f>SUMPRODUCT((('April, Candica'!I14+'April, Candica'!I15)&gt;12)*1)+SUMPRODUCT((('April, Candica'!I16+'April, Candica'!I17)&gt;12)*1)+SUMPRODUCT((('April, Candica'!I18+'April, Candica'!I19)&gt;12)*1)+SUMPRODUCT((('April, Candica'!I20+'April, Candica'!I21)&gt;12)*1)+SUMPRODUCT((('April, Candica'!I22+'April, Candica'!I23)&gt;12)*1)+SUMPRODUCT((('April, Candica'!I24+'April, Candica'!I25)&gt;12)*1)+SUMPRODUCT((('April, Candica'!I26+'April, Candica'!I27)&gt;12)*1)+SUMPRODUCT((('April, Candica'!I30+'April, Candica'!I31)&gt;12)*1)+SUMPRODUCT((('April, Candica'!I32+'April, Candica'!I33)&gt;12)*1)+SUMPRODUCT((('April, Candica'!I34+'April, Candica'!I35)&gt;12)*1)+SUMPRODUCT((('April, Candica'!I36+'April, Candica'!I37)&gt;12)*1)+SUMPRODUCT((('April, Candica'!I38+'April, Candica'!I39)&gt;12)*1)+SUMPRODUCT((('April, Candica'!I40+'April, Candica'!I41)&gt;12)*1)+SUMPRODUCT((('April, Candica'!I42+'April, Candica'!I43)&gt;12)*1)+SUMPRODUCT((('April, Candica'!I45+'April, Candica'!I46)&gt;12)*1)+SUMPRODUCT((('April, Candica'!I47+'April, Candica'!I48)&gt;12)*1)</f>
        <v/>
      </c>
      <c r="G6" s="383">
        <f>IF(MAX(SUM('April, Candica'!I14:I27),SUM('April, Candica'!I30:I43))&gt;60,"Yes","")</f>
        <v/>
      </c>
      <c r="H6" s="383">
        <f>IF(OR(AND(('April, Candica'!I14+'April, Candica'!I15)&gt;0,('April, Candica'!I16+'April, Candica'!I17)&gt;0,('April, Candica'!I18+'April, Candica'!I19)&gt;0,('April, Candica'!I20+'April, Candica'!I21)&gt;0,('April, Candica'!I22+'April, Candica'!I23)&gt;0,('April, Candica'!I24+'April, Candica'!I25)&gt;0,('April, Candica'!I26+'April, Candica'!I27)&gt;0),AND(('April, Candica'!I30+'April, Candica'!I31)&gt;0,('April, Candica'!I32+'April, Candica'!I33)&gt;0,('April, Candica'!I34+'April, Candica'!I35)&gt;0,('April, Candica'!I36+'April, Candica'!I37)&gt;0,('April, Candica'!I38+'April, Candica'!I39)&gt;0,('April, Candica'!I40+'April, Candica'!I41)&gt;0,('April, Candica'!I42+'April, Candica'!I43)&gt;0)),"Yes","")</f>
        <v/>
      </c>
      <c r="I6" s="383">
        <f>IF('April, Candica'!N49&gt;40,"Yes","")</f>
        <v/>
      </c>
      <c r="J6" s="383">
        <f>IF(OR(AND(SUM('April, Candica'!I14:I27)&gt;0,SUM('April, Candica'!I14:I27)&lt;40),AND(SUM('April, Candica'!I30:I43)&gt;0,SUM('April, Candica'!I30:I43)&lt;40)),"Yes","")</f>
        <v/>
      </c>
      <c r="K6" s="383">
        <f>SUMPRODUCT(('April, Candica'!I14:I48&gt;0)*('April, Candica'!I14:I48&lt;8))</f>
        <v/>
      </c>
      <c r="L6" s="383">
        <f>IF('April, Candica'!Q50&lt;5,"Yes","")</f>
        <v/>
      </c>
      <c r="M6" s="383">
        <f>IF(AND('April, Candica'!I49&gt;0,'April, Candica'!I49&lt;80),"Yes","")</f>
        <v/>
      </c>
      <c r="N6" s="383">
        <f>IF(OR(F6&gt;0,G6="Yes",H6="Yes",I6="Yes"),"⚠️ OVERWORK",IF(OR(J6="Yes",K6&gt;0,L6="Yes",M6="Yes"),"🔻 UNDERWORK","✓ OK"))</f>
        <v/>
      </c>
    </row>
    <row r="7">
      <c r="A7" s="383" t="n">
        <v>3</v>
      </c>
      <c r="B7" s="384" t="inlineStr">
        <is>
          <t>Ash, Carol Veronica</t>
        </is>
      </c>
      <c r="C7" s="383" t="inlineStr">
        <is>
          <t>1105</t>
        </is>
      </c>
      <c r="D7" s="383">
        <f>'Ash, Carol'!I49</f>
        <v/>
      </c>
      <c r="E7" s="383">
        <f>'Ash, Carol'!Q50</f>
        <v/>
      </c>
      <c r="F7" s="383">
        <f>SUMPRODUCT((('Ash, Carol'!I14+'Ash, Carol'!I15)&gt;12)*1)+SUMPRODUCT((('Ash, Carol'!I16+'Ash, Carol'!I17)&gt;12)*1)+SUMPRODUCT((('Ash, Carol'!I18+'Ash, Carol'!I19)&gt;12)*1)+SUMPRODUCT((('Ash, Carol'!I20+'Ash, Carol'!I21)&gt;12)*1)+SUMPRODUCT((('Ash, Carol'!I22+'Ash, Carol'!I23)&gt;12)*1)+SUMPRODUCT((('Ash, Carol'!I24+'Ash, Carol'!I25)&gt;12)*1)+SUMPRODUCT((('Ash, Carol'!I26+'Ash, Carol'!I27)&gt;12)*1)+SUMPRODUCT((('Ash, Carol'!I30+'Ash, Carol'!I31)&gt;12)*1)+SUMPRODUCT((('Ash, Carol'!I32+'Ash, Carol'!I33)&gt;12)*1)+SUMPRODUCT((('Ash, Carol'!I34+'Ash, Carol'!I35)&gt;12)*1)+SUMPRODUCT((('Ash, Carol'!I36+'Ash, Carol'!I37)&gt;12)*1)+SUMPRODUCT((('Ash, Carol'!I38+'Ash, Carol'!I39)&gt;12)*1)+SUMPRODUCT((('Ash, Carol'!I40+'Ash, Carol'!I41)&gt;12)*1)+SUMPRODUCT((('Ash, Carol'!I42+'Ash, Carol'!I43)&gt;12)*1)+SUMPRODUCT((('Ash, Carol'!I45+'Ash, Carol'!I46)&gt;12)*1)+SUMPRODUCT((('Ash, Carol'!I47+'Ash, Carol'!I48)&gt;12)*1)</f>
        <v/>
      </c>
      <c r="G7" s="383">
        <f>IF(MAX(SUM('Ash, Carol'!I14:I27),SUM('Ash, Carol'!I30:I43))&gt;60,"Yes","")</f>
        <v/>
      </c>
      <c r="H7" s="383">
        <f>IF(OR(AND(('Ash, Carol'!I14+'Ash, Carol'!I15)&gt;0,('Ash, Carol'!I16+'Ash, Carol'!I17)&gt;0,('Ash, Carol'!I18+'Ash, Carol'!I19)&gt;0,('Ash, Carol'!I20+'Ash, Carol'!I21)&gt;0,('Ash, Carol'!I22+'Ash, Carol'!I23)&gt;0,('Ash, Carol'!I24+'Ash, Carol'!I25)&gt;0,('Ash, Carol'!I26+'Ash, Carol'!I27)&gt;0),AND(('Ash, Carol'!I30+'Ash, Carol'!I31)&gt;0,('Ash, Carol'!I32+'Ash, Carol'!I33)&gt;0,('Ash, Carol'!I34+'Ash, Carol'!I35)&gt;0,('Ash, Carol'!I36+'Ash, Carol'!I37)&gt;0,('Ash, Carol'!I38+'Ash, Carol'!I39)&gt;0,('Ash, Carol'!I40+'Ash, Carol'!I41)&gt;0,('Ash, Carol'!I42+'Ash, Carol'!I43)&gt;0)),"Yes","")</f>
        <v/>
      </c>
      <c r="I7" s="383">
        <f>IF('Ash, Carol'!N49&gt;40,"Yes","")</f>
        <v/>
      </c>
      <c r="J7" s="383">
        <f>IF(OR(AND(SUM('Ash, Carol'!I14:I27)&gt;0,SUM('Ash, Carol'!I14:I27)&lt;40),AND(SUM('Ash, Carol'!I30:I43)&gt;0,SUM('Ash, Carol'!I30:I43)&lt;40)),"Yes","")</f>
        <v/>
      </c>
      <c r="K7" s="383">
        <f>SUMPRODUCT(('Ash, Carol'!I14:I48&gt;0)*('Ash, Carol'!I14:I48&lt;8))</f>
        <v/>
      </c>
      <c r="L7" s="383">
        <f>IF('Ash, Carol'!Q50&lt;5,"Yes","")</f>
        <v/>
      </c>
      <c r="M7" s="383">
        <f>IF(AND('Ash, Carol'!I49&gt;0,'Ash, Carol'!I49&lt;80),"Yes","")</f>
        <v/>
      </c>
      <c r="N7" s="383">
        <f>IF(OR(F7&gt;0,G7="Yes",H7="Yes",I7="Yes"),"⚠️ OVERWORK",IF(OR(J7="Yes",K7&gt;0,L7="Yes",M7="Yes"),"🔻 UNDERWORK","✓ OK"))</f>
        <v/>
      </c>
    </row>
    <row r="8">
      <c r="A8" s="383" t="n">
        <v>4</v>
      </c>
      <c r="B8" s="384" t="inlineStr">
        <is>
          <t>Beharry, Akeela Ashanti</t>
        </is>
      </c>
      <c r="C8" s="383" t="inlineStr">
        <is>
          <t>5520</t>
        </is>
      </c>
      <c r="D8" s="383">
        <f>'Beharry, Akeela'!I49</f>
        <v/>
      </c>
      <c r="E8" s="383">
        <f>'Beharry, Akeela'!Q50</f>
        <v/>
      </c>
      <c r="F8" s="383">
        <f>SUMPRODUCT((('Beharry, Akeela'!I14+'Beharry, Akeela'!I15)&gt;12)*1)+SUMPRODUCT((('Beharry, Akeela'!I16+'Beharry, Akeela'!I17)&gt;12)*1)+SUMPRODUCT((('Beharry, Akeela'!I18+'Beharry, Akeela'!I19)&gt;12)*1)+SUMPRODUCT((('Beharry, Akeela'!I20+'Beharry, Akeela'!I21)&gt;12)*1)+SUMPRODUCT((('Beharry, Akeela'!I22+'Beharry, Akeela'!I23)&gt;12)*1)+SUMPRODUCT((('Beharry, Akeela'!I24+'Beharry, Akeela'!I25)&gt;12)*1)+SUMPRODUCT((('Beharry, Akeela'!I26+'Beharry, Akeela'!I27)&gt;12)*1)+SUMPRODUCT((('Beharry, Akeela'!I30+'Beharry, Akeela'!I31)&gt;12)*1)+SUMPRODUCT((('Beharry, Akeela'!I32+'Beharry, Akeela'!I33)&gt;12)*1)+SUMPRODUCT((('Beharry, Akeela'!I34+'Beharry, Akeela'!I35)&gt;12)*1)+SUMPRODUCT((('Beharry, Akeela'!I36+'Beharry, Akeela'!I37)&gt;12)*1)+SUMPRODUCT((('Beharry, Akeela'!I38+'Beharry, Akeela'!I39)&gt;12)*1)+SUMPRODUCT((('Beharry, Akeela'!I40+'Beharry, Akeela'!I41)&gt;12)*1)+SUMPRODUCT((('Beharry, Akeela'!I42+'Beharry, Akeela'!I43)&gt;12)*1)+SUMPRODUCT((('Beharry, Akeela'!I45+'Beharry, Akeela'!I46)&gt;12)*1)+SUMPRODUCT((('Beharry, Akeela'!I47+'Beharry, Akeela'!I48)&gt;12)*1)</f>
        <v/>
      </c>
      <c r="G8" s="383">
        <f>IF(MAX(SUM('Beharry, Akeela'!I14:I27),SUM('Beharry, Akeela'!I30:I43))&gt;60,"Yes","")</f>
        <v/>
      </c>
      <c r="H8" s="383">
        <f>IF(OR(AND(('Beharry, Akeela'!I14+'Beharry, Akeela'!I15)&gt;0,('Beharry, Akeela'!I16+'Beharry, Akeela'!I17)&gt;0,('Beharry, Akeela'!I18+'Beharry, Akeela'!I19)&gt;0,('Beharry, Akeela'!I20+'Beharry, Akeela'!I21)&gt;0,('Beharry, Akeela'!I22+'Beharry, Akeela'!I23)&gt;0,('Beharry, Akeela'!I24+'Beharry, Akeela'!I25)&gt;0,('Beharry, Akeela'!I26+'Beharry, Akeela'!I27)&gt;0),AND(('Beharry, Akeela'!I30+'Beharry, Akeela'!I31)&gt;0,('Beharry, Akeela'!I32+'Beharry, Akeela'!I33)&gt;0,('Beharry, Akeela'!I34+'Beharry, Akeela'!I35)&gt;0,('Beharry, Akeela'!I36+'Beharry, Akeela'!I37)&gt;0,('Beharry, Akeela'!I38+'Beharry, Akeela'!I39)&gt;0,('Beharry, Akeela'!I40+'Beharry, Akeela'!I41)&gt;0,('Beharry, Akeela'!I42+'Beharry, Akeela'!I43)&gt;0)),"Yes","")</f>
        <v/>
      </c>
      <c r="I8" s="383">
        <f>IF('Beharry, Akeela'!N49&gt;40,"Yes","")</f>
        <v/>
      </c>
      <c r="J8" s="383">
        <f>IF(OR(AND(SUM('Beharry, Akeela'!I14:I27)&gt;0,SUM('Beharry, Akeela'!I14:I27)&lt;40),AND(SUM('Beharry, Akeela'!I30:I43)&gt;0,SUM('Beharry, Akeela'!I30:I43)&lt;40)),"Yes","")</f>
        <v/>
      </c>
      <c r="K8" s="383">
        <f>SUMPRODUCT(('Beharry, Akeela'!I14:I48&gt;0)*('Beharry, Akeela'!I14:I48&lt;8))</f>
        <v/>
      </c>
      <c r="L8" s="383">
        <f>IF('Beharry, Akeela'!Q50&lt;5,"Yes","")</f>
        <v/>
      </c>
      <c r="M8" s="383">
        <f>IF(AND('Beharry, Akeela'!I49&gt;0,'Beharry, Akeela'!I49&lt;80),"Yes","")</f>
        <v/>
      </c>
      <c r="N8" s="383">
        <f>IF(OR(F8&gt;0,G8="Yes",H8="Yes",I8="Yes"),"⚠️ OVERWORK",IF(OR(J8="Yes",K8&gt;0,L8="Yes",M8="Yes"),"🔻 UNDERWORK","✓ OK"))</f>
        <v/>
      </c>
    </row>
    <row r="9">
      <c r="A9" s="383" t="n">
        <v>5</v>
      </c>
      <c r="B9" s="384" t="inlineStr">
        <is>
          <t>Blake, Bevon Natifa</t>
        </is>
      </c>
      <c r="C9" s="383" t="inlineStr">
        <is>
          <t>5113</t>
        </is>
      </c>
      <c r="D9" s="383">
        <f>'Blake, Bevon'!I49</f>
        <v/>
      </c>
      <c r="E9" s="383">
        <f>'Blake, Bevon'!Q50</f>
        <v/>
      </c>
      <c r="F9" s="383">
        <f>SUMPRODUCT((('Blake, Bevon'!I14+'Blake, Bevon'!I15)&gt;12)*1)+SUMPRODUCT((('Blake, Bevon'!I16+'Blake, Bevon'!I17)&gt;12)*1)+SUMPRODUCT((('Blake, Bevon'!I18+'Blake, Bevon'!I19)&gt;12)*1)+SUMPRODUCT((('Blake, Bevon'!I20+'Blake, Bevon'!I21)&gt;12)*1)+SUMPRODUCT((('Blake, Bevon'!I22+'Blake, Bevon'!I23)&gt;12)*1)+SUMPRODUCT((('Blake, Bevon'!I24+'Blake, Bevon'!I25)&gt;12)*1)+SUMPRODUCT((('Blake, Bevon'!I26+'Blake, Bevon'!I27)&gt;12)*1)+SUMPRODUCT((('Blake, Bevon'!I30+'Blake, Bevon'!I31)&gt;12)*1)+SUMPRODUCT((('Blake, Bevon'!I32+'Blake, Bevon'!I33)&gt;12)*1)+SUMPRODUCT((('Blake, Bevon'!I34+'Blake, Bevon'!I35)&gt;12)*1)+SUMPRODUCT((('Blake, Bevon'!I36+'Blake, Bevon'!I37)&gt;12)*1)+SUMPRODUCT((('Blake, Bevon'!I38+'Blake, Bevon'!I39)&gt;12)*1)+SUMPRODUCT((('Blake, Bevon'!I40+'Blake, Bevon'!I41)&gt;12)*1)+SUMPRODUCT((('Blake, Bevon'!I42+'Blake, Bevon'!I43)&gt;12)*1)+SUMPRODUCT((('Blake, Bevon'!I45+'Blake, Bevon'!I46)&gt;12)*1)+SUMPRODUCT((('Blake, Bevon'!I47+'Blake, Bevon'!I48)&gt;12)*1)</f>
        <v/>
      </c>
      <c r="G9" s="383">
        <f>IF(MAX(SUM('Blake, Bevon'!I14:I27),SUM('Blake, Bevon'!I30:I43))&gt;60,"Yes","")</f>
        <v/>
      </c>
      <c r="H9" s="383">
        <f>IF(OR(AND(('Blake, Bevon'!I14+'Blake, Bevon'!I15)&gt;0,('Blake, Bevon'!I16+'Blake, Bevon'!I17)&gt;0,('Blake, Bevon'!I18+'Blake, Bevon'!I19)&gt;0,('Blake, Bevon'!I20+'Blake, Bevon'!I21)&gt;0,('Blake, Bevon'!I22+'Blake, Bevon'!I23)&gt;0,('Blake, Bevon'!I24+'Blake, Bevon'!I25)&gt;0,('Blake, Bevon'!I26+'Blake, Bevon'!I27)&gt;0),AND(('Blake, Bevon'!I30+'Blake, Bevon'!I31)&gt;0,('Blake, Bevon'!I32+'Blake, Bevon'!I33)&gt;0,('Blake, Bevon'!I34+'Blake, Bevon'!I35)&gt;0,('Blake, Bevon'!I36+'Blake, Bevon'!I37)&gt;0,('Blake, Bevon'!I38+'Blake, Bevon'!I39)&gt;0,('Blake, Bevon'!I40+'Blake, Bevon'!I41)&gt;0,('Blake, Bevon'!I42+'Blake, Bevon'!I43)&gt;0)),"Yes","")</f>
        <v/>
      </c>
      <c r="I9" s="383">
        <f>IF('Blake, Bevon'!N49&gt;40,"Yes","")</f>
        <v/>
      </c>
      <c r="J9" s="383">
        <f>IF(OR(AND(SUM('Blake, Bevon'!I14:I27)&gt;0,SUM('Blake, Bevon'!I14:I27)&lt;40),AND(SUM('Blake, Bevon'!I30:I43)&gt;0,SUM('Blake, Bevon'!I30:I43)&lt;40)),"Yes","")</f>
        <v/>
      </c>
      <c r="K9" s="383">
        <f>SUMPRODUCT(('Blake, Bevon'!I14:I48&gt;0)*('Blake, Bevon'!I14:I48&lt;8))</f>
        <v/>
      </c>
      <c r="L9" s="383">
        <f>IF('Blake, Bevon'!Q50&lt;5,"Yes","")</f>
        <v/>
      </c>
      <c r="M9" s="383">
        <f>IF(AND('Blake, Bevon'!I49&gt;0,'Blake, Bevon'!I49&lt;80),"Yes","")</f>
        <v/>
      </c>
      <c r="N9" s="383">
        <f>IF(OR(F9&gt;0,G9="Yes",H9="Yes",I9="Yes"),"⚠️ OVERWORK",IF(OR(J9="Yes",K9&gt;0,L9="Yes",M9="Yes"),"🔻 UNDERWORK","✓ OK"))</f>
        <v/>
      </c>
    </row>
    <row r="10">
      <c r="A10" s="383" t="n">
        <v>6</v>
      </c>
      <c r="B10" s="384" t="inlineStr">
        <is>
          <t>Charles, Maisha Renitta</t>
        </is>
      </c>
      <c r="C10" s="383" t="inlineStr">
        <is>
          <t>4031</t>
        </is>
      </c>
      <c r="D10" s="383">
        <f>'Charles, Maisha'!I49</f>
        <v/>
      </c>
      <c r="E10" s="383">
        <f>'Charles, Maisha'!Q50</f>
        <v/>
      </c>
      <c r="F10" s="383">
        <f>SUMPRODUCT((('Charles, Maisha'!I14+'Charles, Maisha'!I15)&gt;12)*1)+SUMPRODUCT((('Charles, Maisha'!I16+'Charles, Maisha'!I17)&gt;12)*1)+SUMPRODUCT((('Charles, Maisha'!I18+'Charles, Maisha'!I19)&gt;12)*1)+SUMPRODUCT((('Charles, Maisha'!I20+'Charles, Maisha'!I21)&gt;12)*1)+SUMPRODUCT((('Charles, Maisha'!I22+'Charles, Maisha'!I23)&gt;12)*1)+SUMPRODUCT((('Charles, Maisha'!I24+'Charles, Maisha'!I25)&gt;12)*1)+SUMPRODUCT((('Charles, Maisha'!I26+'Charles, Maisha'!I27)&gt;12)*1)+SUMPRODUCT((('Charles, Maisha'!I30+'Charles, Maisha'!I31)&gt;12)*1)+SUMPRODUCT((('Charles, Maisha'!I32+'Charles, Maisha'!I33)&gt;12)*1)+SUMPRODUCT((('Charles, Maisha'!I34+'Charles, Maisha'!I35)&gt;12)*1)+SUMPRODUCT((('Charles, Maisha'!I36+'Charles, Maisha'!I37)&gt;12)*1)+SUMPRODUCT((('Charles, Maisha'!I38+'Charles, Maisha'!I39)&gt;12)*1)+SUMPRODUCT((('Charles, Maisha'!I40+'Charles, Maisha'!I41)&gt;12)*1)+SUMPRODUCT((('Charles, Maisha'!I42+'Charles, Maisha'!I43)&gt;12)*1)+SUMPRODUCT((('Charles, Maisha'!I45+'Charles, Maisha'!I46)&gt;12)*1)+SUMPRODUCT((('Charles, Maisha'!I47+'Charles, Maisha'!I48)&gt;12)*1)</f>
        <v/>
      </c>
      <c r="G10" s="383">
        <f>IF(MAX(SUM('Charles, Maisha'!I14:I27),SUM('Charles, Maisha'!I30:I43))&gt;60,"Yes","")</f>
        <v/>
      </c>
      <c r="H10" s="383">
        <f>IF(OR(AND(('Charles, Maisha'!I14+'Charles, Maisha'!I15)&gt;0,('Charles, Maisha'!I16+'Charles, Maisha'!I17)&gt;0,('Charles, Maisha'!I18+'Charles, Maisha'!I19)&gt;0,('Charles, Maisha'!I20+'Charles, Maisha'!I21)&gt;0,('Charles, Maisha'!I22+'Charles, Maisha'!I23)&gt;0,('Charles, Maisha'!I24+'Charles, Maisha'!I25)&gt;0,('Charles, Maisha'!I26+'Charles, Maisha'!I27)&gt;0),AND(('Charles, Maisha'!I30+'Charles, Maisha'!I31)&gt;0,('Charles, Maisha'!I32+'Charles, Maisha'!I33)&gt;0,('Charles, Maisha'!I34+'Charles, Maisha'!I35)&gt;0,('Charles, Maisha'!I36+'Charles, Maisha'!I37)&gt;0,('Charles, Maisha'!I38+'Charles, Maisha'!I39)&gt;0,('Charles, Maisha'!I40+'Charles, Maisha'!I41)&gt;0,('Charles, Maisha'!I42+'Charles, Maisha'!I43)&gt;0)),"Yes","")</f>
        <v/>
      </c>
      <c r="I10" s="383">
        <f>IF('Charles, Maisha'!N49&gt;40,"Yes","")</f>
        <v/>
      </c>
      <c r="J10" s="383">
        <f>IF(OR(AND(SUM('Charles, Maisha'!I14:I27)&gt;0,SUM('Charles, Maisha'!I14:I27)&lt;40),AND(SUM('Charles, Maisha'!I30:I43)&gt;0,SUM('Charles, Maisha'!I30:I43)&lt;40)),"Yes","")</f>
        <v/>
      </c>
      <c r="K10" s="383">
        <f>SUMPRODUCT(('Charles, Maisha'!I14:I48&gt;0)*('Charles, Maisha'!I14:I48&lt;8))</f>
        <v/>
      </c>
      <c r="L10" s="383">
        <f>IF('Charles, Maisha'!Q50&lt;5,"Yes","")</f>
        <v/>
      </c>
      <c r="M10" s="383">
        <f>IF(AND('Charles, Maisha'!I49&gt;0,'Charles, Maisha'!I49&lt;80),"Yes","")</f>
        <v/>
      </c>
      <c r="N10" s="383">
        <f>IF(OR(F10&gt;0,G10="Yes",H10="Yes",I10="Yes"),"⚠️ OVERWORK",IF(OR(J10="Yes",K10&gt;0,L10="Yes",M10="Yes"),"🔻 UNDERWORK","✓ OK"))</f>
        <v/>
      </c>
    </row>
    <row r="11">
      <c r="A11" s="383" t="n">
        <v>7</v>
      </c>
      <c r="B11" s="384" t="inlineStr">
        <is>
          <t>Cromwell, Dexter Oliver</t>
        </is>
      </c>
      <c r="C11" s="383" t="inlineStr">
        <is>
          <t>2425</t>
        </is>
      </c>
      <c r="D11" s="383">
        <f>'Cromwell, Dexter'!I49</f>
        <v/>
      </c>
      <c r="E11" s="383">
        <f>'Cromwell, Dexter'!Q50</f>
        <v/>
      </c>
      <c r="F11" s="383">
        <f>SUMPRODUCT((('Cromwell, Dexter'!I14+'Cromwell, Dexter'!I15)&gt;12)*1)+SUMPRODUCT((('Cromwell, Dexter'!I16+'Cromwell, Dexter'!I17)&gt;12)*1)+SUMPRODUCT((('Cromwell, Dexter'!I18+'Cromwell, Dexter'!I19)&gt;12)*1)+SUMPRODUCT((('Cromwell, Dexter'!I20+'Cromwell, Dexter'!I21)&gt;12)*1)+SUMPRODUCT((('Cromwell, Dexter'!I22+'Cromwell, Dexter'!I23)&gt;12)*1)+SUMPRODUCT((('Cromwell, Dexter'!I24+'Cromwell, Dexter'!I25)&gt;12)*1)+SUMPRODUCT((('Cromwell, Dexter'!I26+'Cromwell, Dexter'!I27)&gt;12)*1)+SUMPRODUCT((('Cromwell, Dexter'!I30+'Cromwell, Dexter'!I31)&gt;12)*1)+SUMPRODUCT((('Cromwell, Dexter'!I32+'Cromwell, Dexter'!I33)&gt;12)*1)+SUMPRODUCT((('Cromwell, Dexter'!I34+'Cromwell, Dexter'!I35)&gt;12)*1)+SUMPRODUCT((('Cromwell, Dexter'!I36+'Cromwell, Dexter'!I37)&gt;12)*1)+SUMPRODUCT((('Cromwell, Dexter'!I38+'Cromwell, Dexter'!I39)&gt;12)*1)+SUMPRODUCT((('Cromwell, Dexter'!I40+'Cromwell, Dexter'!I41)&gt;12)*1)+SUMPRODUCT((('Cromwell, Dexter'!I42+'Cromwell, Dexter'!I43)&gt;12)*1)+SUMPRODUCT((('Cromwell, Dexter'!I45+'Cromwell, Dexter'!I46)&gt;12)*1)+SUMPRODUCT((('Cromwell, Dexter'!I47+'Cromwell, Dexter'!I48)&gt;12)*1)</f>
        <v/>
      </c>
      <c r="G11" s="383">
        <f>IF(MAX(SUM('Cromwell, Dexter'!I14:I27),SUM('Cromwell, Dexter'!I30:I43))&gt;60,"Yes","")</f>
        <v/>
      </c>
      <c r="H11" s="383">
        <f>IF(OR(AND(('Cromwell, Dexter'!I14+'Cromwell, Dexter'!I15)&gt;0,('Cromwell, Dexter'!I16+'Cromwell, Dexter'!I17)&gt;0,('Cromwell, Dexter'!I18+'Cromwell, Dexter'!I19)&gt;0,('Cromwell, Dexter'!I20+'Cromwell, Dexter'!I21)&gt;0,('Cromwell, Dexter'!I22+'Cromwell, Dexter'!I23)&gt;0,('Cromwell, Dexter'!I24+'Cromwell, Dexter'!I25)&gt;0,('Cromwell, Dexter'!I26+'Cromwell, Dexter'!I27)&gt;0),AND(('Cromwell, Dexter'!I30+'Cromwell, Dexter'!I31)&gt;0,('Cromwell, Dexter'!I32+'Cromwell, Dexter'!I33)&gt;0,('Cromwell, Dexter'!I34+'Cromwell, Dexter'!I35)&gt;0,('Cromwell, Dexter'!I36+'Cromwell, Dexter'!I37)&gt;0,('Cromwell, Dexter'!I38+'Cromwell, Dexter'!I39)&gt;0,('Cromwell, Dexter'!I40+'Cromwell, Dexter'!I41)&gt;0,('Cromwell, Dexter'!I42+'Cromwell, Dexter'!I43)&gt;0)),"Yes","")</f>
        <v/>
      </c>
      <c r="I11" s="383">
        <f>IF('Cromwell, Dexter'!N49&gt;40,"Yes","")</f>
        <v/>
      </c>
      <c r="J11" s="383">
        <f>IF(OR(AND(SUM('Cromwell, Dexter'!I14:I27)&gt;0,SUM('Cromwell, Dexter'!I14:I27)&lt;40),AND(SUM('Cromwell, Dexter'!I30:I43)&gt;0,SUM('Cromwell, Dexter'!I30:I43)&lt;40)),"Yes","")</f>
        <v/>
      </c>
      <c r="K11" s="383">
        <f>SUMPRODUCT(('Cromwell, Dexter'!I14:I48&gt;0)*('Cromwell, Dexter'!I14:I48&lt;8))</f>
        <v/>
      </c>
      <c r="L11" s="383">
        <f>IF('Cromwell, Dexter'!Q50&lt;5,"Yes","")</f>
        <v/>
      </c>
      <c r="M11" s="383">
        <f>IF(AND('Cromwell, Dexter'!I49&gt;0,'Cromwell, Dexter'!I49&lt;80),"Yes","")</f>
        <v/>
      </c>
      <c r="N11" s="383">
        <f>IF(OR(F11&gt;0,G11="Yes",H11="Yes",I11="Yes"),"⚠️ OVERWORK",IF(OR(J11="Yes",K11&gt;0,L11="Yes",M11="Yes"),"🔻 UNDERWORK","✓ OK"))</f>
        <v/>
      </c>
    </row>
    <row r="12">
      <c r="A12" s="383" t="n">
        <v>8</v>
      </c>
      <c r="B12" s="384" t="inlineStr">
        <is>
          <t>Eastman, Dennis Rickford</t>
        </is>
      </c>
      <c r="C12" s="383" t="inlineStr">
        <is>
          <t>5367</t>
        </is>
      </c>
      <c r="D12" s="383">
        <f>'Eastman, Dennis'!I49</f>
        <v/>
      </c>
      <c r="E12" s="383">
        <f>'Eastman, Dennis'!Q50</f>
        <v/>
      </c>
      <c r="F12" s="383">
        <f>SUMPRODUCT((('Eastman, Dennis'!I14+'Eastman, Dennis'!I15)&gt;12)*1)+SUMPRODUCT((('Eastman, Dennis'!I16+'Eastman, Dennis'!I17)&gt;12)*1)+SUMPRODUCT((('Eastman, Dennis'!I18+'Eastman, Dennis'!I19)&gt;12)*1)+SUMPRODUCT((('Eastman, Dennis'!I20+'Eastman, Dennis'!I21)&gt;12)*1)+SUMPRODUCT((('Eastman, Dennis'!I22+'Eastman, Dennis'!I23)&gt;12)*1)+SUMPRODUCT((('Eastman, Dennis'!I24+'Eastman, Dennis'!I25)&gt;12)*1)+SUMPRODUCT((('Eastman, Dennis'!I26+'Eastman, Dennis'!I27)&gt;12)*1)+SUMPRODUCT((('Eastman, Dennis'!I30+'Eastman, Dennis'!I31)&gt;12)*1)+SUMPRODUCT((('Eastman, Dennis'!I32+'Eastman, Dennis'!I33)&gt;12)*1)+SUMPRODUCT((('Eastman, Dennis'!I34+'Eastman, Dennis'!I35)&gt;12)*1)+SUMPRODUCT((('Eastman, Dennis'!I36+'Eastman, Dennis'!I37)&gt;12)*1)+SUMPRODUCT((('Eastman, Dennis'!I38+'Eastman, Dennis'!I39)&gt;12)*1)+SUMPRODUCT((('Eastman, Dennis'!I40+'Eastman, Dennis'!I41)&gt;12)*1)+SUMPRODUCT((('Eastman, Dennis'!I42+'Eastman, Dennis'!I43)&gt;12)*1)+SUMPRODUCT((('Eastman, Dennis'!I45+'Eastman, Dennis'!I46)&gt;12)*1)+SUMPRODUCT((('Eastman, Dennis'!I47+'Eastman, Dennis'!I48)&gt;12)*1)</f>
        <v/>
      </c>
      <c r="G12" s="383">
        <f>IF(MAX(SUM('Eastman, Dennis'!I14:I27),SUM('Eastman, Dennis'!I30:I43))&gt;60,"Yes","")</f>
        <v/>
      </c>
      <c r="H12" s="383">
        <f>IF(OR(AND(('Eastman, Dennis'!I14+'Eastman, Dennis'!I15)&gt;0,('Eastman, Dennis'!I16+'Eastman, Dennis'!I17)&gt;0,('Eastman, Dennis'!I18+'Eastman, Dennis'!I19)&gt;0,('Eastman, Dennis'!I20+'Eastman, Dennis'!I21)&gt;0,('Eastman, Dennis'!I22+'Eastman, Dennis'!I23)&gt;0,('Eastman, Dennis'!I24+'Eastman, Dennis'!I25)&gt;0,('Eastman, Dennis'!I26+'Eastman, Dennis'!I27)&gt;0),AND(('Eastman, Dennis'!I30+'Eastman, Dennis'!I31)&gt;0,('Eastman, Dennis'!I32+'Eastman, Dennis'!I33)&gt;0,('Eastman, Dennis'!I34+'Eastman, Dennis'!I35)&gt;0,('Eastman, Dennis'!I36+'Eastman, Dennis'!I37)&gt;0,('Eastman, Dennis'!I38+'Eastman, Dennis'!I39)&gt;0,('Eastman, Dennis'!I40+'Eastman, Dennis'!I41)&gt;0,('Eastman, Dennis'!I42+'Eastman, Dennis'!I43)&gt;0)),"Yes","")</f>
        <v/>
      </c>
      <c r="I12" s="383">
        <f>IF('Eastman, Dennis'!N49&gt;40,"Yes","")</f>
        <v/>
      </c>
      <c r="J12" s="383">
        <f>IF(OR(AND(SUM('Eastman, Dennis'!I14:I27)&gt;0,SUM('Eastman, Dennis'!I14:I27)&lt;40),AND(SUM('Eastman, Dennis'!I30:I43)&gt;0,SUM('Eastman, Dennis'!I30:I43)&lt;40)),"Yes","")</f>
        <v/>
      </c>
      <c r="K12" s="383">
        <f>SUMPRODUCT(('Eastman, Dennis'!I14:I48&gt;0)*('Eastman, Dennis'!I14:I48&lt;8))</f>
        <v/>
      </c>
      <c r="L12" s="383">
        <f>IF('Eastman, Dennis'!Q50&lt;5,"Yes","")</f>
        <v/>
      </c>
      <c r="M12" s="383">
        <f>IF(AND('Eastman, Dennis'!I49&gt;0,'Eastman, Dennis'!I49&lt;80),"Yes","")</f>
        <v/>
      </c>
      <c r="N12" s="383">
        <f>IF(OR(F12&gt;0,G12="Yes",H12="Yes",I12="Yes"),"⚠️ OVERWORK",IF(OR(J12="Yes",K12&gt;0,L12="Yes",M12="Yes"),"🔻 UNDERWORK","✓ OK"))</f>
        <v/>
      </c>
    </row>
    <row r="13">
      <c r="A13" s="383" t="n">
        <v>9</v>
      </c>
      <c r="B13" s="384" t="inlineStr">
        <is>
          <t>Eastman, Dorritte Anita</t>
        </is>
      </c>
      <c r="C13" s="383" t="inlineStr">
        <is>
          <t>5062</t>
        </is>
      </c>
      <c r="D13" s="383">
        <f>'Eastman, Dorritte'!I49</f>
        <v/>
      </c>
      <c r="E13" s="383">
        <f>'Eastman, Dorritte'!Q50</f>
        <v/>
      </c>
      <c r="F13" s="383">
        <f>SUMPRODUCT((('Eastman, Dorritte'!I14+'Eastman, Dorritte'!I15)&gt;12)*1)+SUMPRODUCT((('Eastman, Dorritte'!I16+'Eastman, Dorritte'!I17)&gt;12)*1)+SUMPRODUCT((('Eastman, Dorritte'!I18+'Eastman, Dorritte'!I19)&gt;12)*1)+SUMPRODUCT((('Eastman, Dorritte'!I20+'Eastman, Dorritte'!I21)&gt;12)*1)+SUMPRODUCT((('Eastman, Dorritte'!I22+'Eastman, Dorritte'!I23)&gt;12)*1)+SUMPRODUCT((('Eastman, Dorritte'!I24+'Eastman, Dorritte'!I25)&gt;12)*1)+SUMPRODUCT((('Eastman, Dorritte'!I26+'Eastman, Dorritte'!I27)&gt;12)*1)+SUMPRODUCT((('Eastman, Dorritte'!I30+'Eastman, Dorritte'!I31)&gt;12)*1)+SUMPRODUCT((('Eastman, Dorritte'!I32+'Eastman, Dorritte'!I33)&gt;12)*1)+SUMPRODUCT((('Eastman, Dorritte'!I34+'Eastman, Dorritte'!I35)&gt;12)*1)+SUMPRODUCT((('Eastman, Dorritte'!I36+'Eastman, Dorritte'!I37)&gt;12)*1)+SUMPRODUCT((('Eastman, Dorritte'!I38+'Eastman, Dorritte'!I39)&gt;12)*1)+SUMPRODUCT((('Eastman, Dorritte'!I40+'Eastman, Dorritte'!I41)&gt;12)*1)+SUMPRODUCT((('Eastman, Dorritte'!I42+'Eastman, Dorritte'!I43)&gt;12)*1)+SUMPRODUCT((('Eastman, Dorritte'!I45+'Eastman, Dorritte'!I46)&gt;12)*1)+SUMPRODUCT((('Eastman, Dorritte'!I47+'Eastman, Dorritte'!I48)&gt;12)*1)</f>
        <v/>
      </c>
      <c r="G13" s="383">
        <f>IF(MAX(SUM('Eastman, Dorritte'!I14:I27),SUM('Eastman, Dorritte'!I30:I43))&gt;60,"Yes","")</f>
        <v/>
      </c>
      <c r="H13" s="383">
        <f>IF(OR(AND(('Eastman, Dorritte'!I14+'Eastman, Dorritte'!I15)&gt;0,('Eastman, Dorritte'!I16+'Eastman, Dorritte'!I17)&gt;0,('Eastman, Dorritte'!I18+'Eastman, Dorritte'!I19)&gt;0,('Eastman, Dorritte'!I20+'Eastman, Dorritte'!I21)&gt;0,('Eastman, Dorritte'!I22+'Eastman, Dorritte'!I23)&gt;0,('Eastman, Dorritte'!I24+'Eastman, Dorritte'!I25)&gt;0,('Eastman, Dorritte'!I26+'Eastman, Dorritte'!I27)&gt;0),AND(('Eastman, Dorritte'!I30+'Eastman, Dorritte'!I31)&gt;0,('Eastman, Dorritte'!I32+'Eastman, Dorritte'!I33)&gt;0,('Eastman, Dorritte'!I34+'Eastman, Dorritte'!I35)&gt;0,('Eastman, Dorritte'!I36+'Eastman, Dorritte'!I37)&gt;0,('Eastman, Dorritte'!I38+'Eastman, Dorritte'!I39)&gt;0,('Eastman, Dorritte'!I40+'Eastman, Dorritte'!I41)&gt;0,('Eastman, Dorritte'!I42+'Eastman, Dorritte'!I43)&gt;0)),"Yes","")</f>
        <v/>
      </c>
      <c r="I13" s="383">
        <f>IF('Eastman, Dorritte'!N49&gt;40,"Yes","")</f>
        <v/>
      </c>
      <c r="J13" s="383">
        <f>IF(OR(AND(SUM('Eastman, Dorritte'!I14:I27)&gt;0,SUM('Eastman, Dorritte'!I14:I27)&lt;40),AND(SUM('Eastman, Dorritte'!I30:I43)&gt;0,SUM('Eastman, Dorritte'!I30:I43)&lt;40)),"Yes","")</f>
        <v/>
      </c>
      <c r="K13" s="383">
        <f>SUMPRODUCT(('Eastman, Dorritte'!I14:I48&gt;0)*('Eastman, Dorritte'!I14:I48&lt;8))</f>
        <v/>
      </c>
      <c r="L13" s="383">
        <f>IF('Eastman, Dorritte'!Q50&lt;5,"Yes","")</f>
        <v/>
      </c>
      <c r="M13" s="383">
        <f>IF(AND('Eastman, Dorritte'!I49&gt;0,'Eastman, Dorritte'!I49&lt;80),"Yes","")</f>
        <v/>
      </c>
      <c r="N13" s="383">
        <f>IF(OR(F13&gt;0,G13="Yes",H13="Yes",I13="Yes"),"⚠️ OVERWORK",IF(OR(J13="Yes",K13&gt;0,L13="Yes",M13="Yes"),"🔻 UNDERWORK","✓ OK"))</f>
        <v/>
      </c>
    </row>
    <row r="14">
      <c r="A14" s="383" t="n">
        <v>10</v>
      </c>
      <c r="B14" s="384" t="inlineStr">
        <is>
          <t>Grant, Earl</t>
        </is>
      </c>
      <c r="C14" s="383" t="inlineStr">
        <is>
          <t>4087</t>
        </is>
      </c>
      <c r="D14" s="383">
        <f>'Grant, Earl'!I49</f>
        <v/>
      </c>
      <c r="E14" s="383">
        <f>'Grant, Earl'!Q50</f>
        <v/>
      </c>
      <c r="F14" s="383">
        <f>SUMPRODUCT((('Grant, Earl'!I14+'Grant, Earl'!I15)&gt;12)*1)+SUMPRODUCT((('Grant, Earl'!I16+'Grant, Earl'!I17)&gt;12)*1)+SUMPRODUCT((('Grant, Earl'!I18+'Grant, Earl'!I19)&gt;12)*1)+SUMPRODUCT((('Grant, Earl'!I20+'Grant, Earl'!I21)&gt;12)*1)+SUMPRODUCT((('Grant, Earl'!I22+'Grant, Earl'!I23)&gt;12)*1)+SUMPRODUCT((('Grant, Earl'!I24+'Grant, Earl'!I25)&gt;12)*1)+SUMPRODUCT((('Grant, Earl'!I26+'Grant, Earl'!I27)&gt;12)*1)+SUMPRODUCT((('Grant, Earl'!I30+'Grant, Earl'!I31)&gt;12)*1)+SUMPRODUCT((('Grant, Earl'!I32+'Grant, Earl'!I33)&gt;12)*1)+SUMPRODUCT((('Grant, Earl'!I34+'Grant, Earl'!I35)&gt;12)*1)+SUMPRODUCT((('Grant, Earl'!I36+'Grant, Earl'!I37)&gt;12)*1)+SUMPRODUCT((('Grant, Earl'!I38+'Grant, Earl'!I39)&gt;12)*1)+SUMPRODUCT((('Grant, Earl'!I40+'Grant, Earl'!I41)&gt;12)*1)+SUMPRODUCT((('Grant, Earl'!I42+'Grant, Earl'!I43)&gt;12)*1)+SUMPRODUCT((('Grant, Earl'!I45+'Grant, Earl'!I46)&gt;12)*1)+SUMPRODUCT((('Grant, Earl'!I47+'Grant, Earl'!I48)&gt;12)*1)</f>
        <v/>
      </c>
      <c r="G14" s="383">
        <f>IF(MAX(SUM('Grant, Earl'!I14:I27),SUM('Grant, Earl'!I30:I43))&gt;60,"Yes","")</f>
        <v/>
      </c>
      <c r="H14" s="383">
        <f>IF(OR(AND(('Grant, Earl'!I14+'Grant, Earl'!I15)&gt;0,('Grant, Earl'!I16+'Grant, Earl'!I17)&gt;0,('Grant, Earl'!I18+'Grant, Earl'!I19)&gt;0,('Grant, Earl'!I20+'Grant, Earl'!I21)&gt;0,('Grant, Earl'!I22+'Grant, Earl'!I23)&gt;0,('Grant, Earl'!I24+'Grant, Earl'!I25)&gt;0,('Grant, Earl'!I26+'Grant, Earl'!I27)&gt;0),AND(('Grant, Earl'!I30+'Grant, Earl'!I31)&gt;0,('Grant, Earl'!I32+'Grant, Earl'!I33)&gt;0,('Grant, Earl'!I34+'Grant, Earl'!I35)&gt;0,('Grant, Earl'!I36+'Grant, Earl'!I37)&gt;0,('Grant, Earl'!I38+'Grant, Earl'!I39)&gt;0,('Grant, Earl'!I40+'Grant, Earl'!I41)&gt;0,('Grant, Earl'!I42+'Grant, Earl'!I43)&gt;0)),"Yes","")</f>
        <v/>
      </c>
      <c r="I14" s="383">
        <f>IF('Grant, Earl'!N49&gt;40,"Yes","")</f>
        <v/>
      </c>
      <c r="J14" s="383">
        <f>IF(OR(AND(SUM('Grant, Earl'!I14:I27)&gt;0,SUM('Grant, Earl'!I14:I27)&lt;40),AND(SUM('Grant, Earl'!I30:I43)&gt;0,SUM('Grant, Earl'!I30:I43)&lt;40)),"Yes","")</f>
        <v/>
      </c>
      <c r="K14" s="383">
        <f>SUMPRODUCT(('Grant, Earl'!I14:I48&gt;0)*('Grant, Earl'!I14:I48&lt;8))</f>
        <v/>
      </c>
      <c r="L14" s="383">
        <f>IF('Grant, Earl'!Q50&lt;5,"Yes","")</f>
        <v/>
      </c>
      <c r="M14" s="383">
        <f>IF(AND('Grant, Earl'!I49&gt;0,'Grant, Earl'!I49&lt;80),"Yes","")</f>
        <v/>
      </c>
      <c r="N14" s="383">
        <f>IF(OR(F14&gt;0,G14="Yes",H14="Yes",I14="Yes"),"⚠️ OVERWORK",IF(OR(J14="Yes",K14&gt;0,L14="Yes",M14="Yes"),"🔻 UNDERWORK","✓ OK"))</f>
        <v/>
      </c>
    </row>
    <row r="15">
      <c r="A15" s="383" t="n">
        <v>11</v>
      </c>
      <c r="B15" s="384" t="inlineStr">
        <is>
          <t>Harry, Dennis Eleazar</t>
        </is>
      </c>
      <c r="C15" s="383" t="inlineStr">
        <is>
          <t>2697</t>
        </is>
      </c>
      <c r="D15" s="383">
        <f>'Harry, Dennis'!I49</f>
        <v/>
      </c>
      <c r="E15" s="383">
        <f>'Harry, Dennis'!Q50</f>
        <v/>
      </c>
      <c r="F15" s="383">
        <f>SUMPRODUCT((('Harry, Dennis'!I14+'Harry, Dennis'!I15)&gt;12)*1)+SUMPRODUCT((('Harry, Dennis'!I16+'Harry, Dennis'!I17)&gt;12)*1)+SUMPRODUCT((('Harry, Dennis'!I18+'Harry, Dennis'!I19)&gt;12)*1)+SUMPRODUCT((('Harry, Dennis'!I20+'Harry, Dennis'!I21)&gt;12)*1)+SUMPRODUCT((('Harry, Dennis'!I22+'Harry, Dennis'!I23)&gt;12)*1)+SUMPRODUCT((('Harry, Dennis'!I24+'Harry, Dennis'!I25)&gt;12)*1)+SUMPRODUCT((('Harry, Dennis'!I26+'Harry, Dennis'!I27)&gt;12)*1)+SUMPRODUCT((('Harry, Dennis'!I30+'Harry, Dennis'!I31)&gt;12)*1)+SUMPRODUCT((('Harry, Dennis'!I32+'Harry, Dennis'!I33)&gt;12)*1)+SUMPRODUCT((('Harry, Dennis'!I34+'Harry, Dennis'!I35)&gt;12)*1)+SUMPRODUCT((('Harry, Dennis'!I36+'Harry, Dennis'!I37)&gt;12)*1)+SUMPRODUCT((('Harry, Dennis'!I38+'Harry, Dennis'!I39)&gt;12)*1)+SUMPRODUCT((('Harry, Dennis'!I40+'Harry, Dennis'!I41)&gt;12)*1)+SUMPRODUCT((('Harry, Dennis'!I42+'Harry, Dennis'!I43)&gt;12)*1)+SUMPRODUCT((('Harry, Dennis'!I45+'Harry, Dennis'!I46)&gt;12)*1)+SUMPRODUCT((('Harry, Dennis'!I47+'Harry, Dennis'!I48)&gt;12)*1)</f>
        <v/>
      </c>
      <c r="G15" s="383">
        <f>IF(MAX(SUM('Harry, Dennis'!I14:I27),SUM('Harry, Dennis'!I30:I43))&gt;60,"Yes","")</f>
        <v/>
      </c>
      <c r="H15" s="383">
        <f>IF(OR(AND(('Harry, Dennis'!I14+'Harry, Dennis'!I15)&gt;0,('Harry, Dennis'!I16+'Harry, Dennis'!I17)&gt;0,('Harry, Dennis'!I18+'Harry, Dennis'!I19)&gt;0,('Harry, Dennis'!I20+'Harry, Dennis'!I21)&gt;0,('Harry, Dennis'!I22+'Harry, Dennis'!I23)&gt;0,('Harry, Dennis'!I24+'Harry, Dennis'!I25)&gt;0,('Harry, Dennis'!I26+'Harry, Dennis'!I27)&gt;0),AND(('Harry, Dennis'!I30+'Harry, Dennis'!I31)&gt;0,('Harry, Dennis'!I32+'Harry, Dennis'!I33)&gt;0,('Harry, Dennis'!I34+'Harry, Dennis'!I35)&gt;0,('Harry, Dennis'!I36+'Harry, Dennis'!I37)&gt;0,('Harry, Dennis'!I38+'Harry, Dennis'!I39)&gt;0,('Harry, Dennis'!I40+'Harry, Dennis'!I41)&gt;0,('Harry, Dennis'!I42+'Harry, Dennis'!I43)&gt;0)),"Yes","")</f>
        <v/>
      </c>
      <c r="I15" s="383">
        <f>IF('Harry, Dennis'!N49&gt;40,"Yes","")</f>
        <v/>
      </c>
      <c r="J15" s="383">
        <f>IF(OR(AND(SUM('Harry, Dennis'!I14:I27)&gt;0,SUM('Harry, Dennis'!I14:I27)&lt;40),AND(SUM('Harry, Dennis'!I30:I43)&gt;0,SUM('Harry, Dennis'!I30:I43)&lt;40)),"Yes","")</f>
        <v/>
      </c>
      <c r="K15" s="383">
        <f>SUMPRODUCT(('Harry, Dennis'!I14:I48&gt;0)*('Harry, Dennis'!I14:I48&lt;8))</f>
        <v/>
      </c>
      <c r="L15" s="383">
        <f>IF('Harry, Dennis'!Q50&lt;5,"Yes","")</f>
        <v/>
      </c>
      <c r="M15" s="383">
        <f>IF(AND('Harry, Dennis'!I49&gt;0,'Harry, Dennis'!I49&lt;80),"Yes","")</f>
        <v/>
      </c>
      <c r="N15" s="383">
        <f>IF(OR(F15&gt;0,G15="Yes",H15="Yes",I15="Yes"),"⚠️ OVERWORK",IF(OR(J15="Yes",K15&gt;0,L15="Yes",M15="Yes"),"🔻 UNDERWORK","✓ OK"))</f>
        <v/>
      </c>
    </row>
    <row r="16">
      <c r="A16" s="383" t="n">
        <v>12</v>
      </c>
      <c r="B16" s="384" t="inlineStr">
        <is>
          <t>Hector, Aaliyah Anastacia</t>
        </is>
      </c>
      <c r="C16" s="383" t="inlineStr">
        <is>
          <t>5509</t>
        </is>
      </c>
      <c r="D16" s="383">
        <f>'Hector, Aaliyah'!I49</f>
        <v/>
      </c>
      <c r="E16" s="383">
        <f>'Hector, Aaliyah'!Q50</f>
        <v/>
      </c>
      <c r="F16" s="383">
        <f>SUMPRODUCT((('Hector, Aaliyah'!I14+'Hector, Aaliyah'!I15)&gt;12)*1)+SUMPRODUCT((('Hector, Aaliyah'!I16+'Hector, Aaliyah'!I17)&gt;12)*1)+SUMPRODUCT((('Hector, Aaliyah'!I18+'Hector, Aaliyah'!I19)&gt;12)*1)+SUMPRODUCT((('Hector, Aaliyah'!I20+'Hector, Aaliyah'!I21)&gt;12)*1)+SUMPRODUCT((('Hector, Aaliyah'!I22+'Hector, Aaliyah'!I23)&gt;12)*1)+SUMPRODUCT((('Hector, Aaliyah'!I24+'Hector, Aaliyah'!I25)&gt;12)*1)+SUMPRODUCT((('Hector, Aaliyah'!I26+'Hector, Aaliyah'!I27)&gt;12)*1)+SUMPRODUCT((('Hector, Aaliyah'!I30+'Hector, Aaliyah'!I31)&gt;12)*1)+SUMPRODUCT((('Hector, Aaliyah'!I32+'Hector, Aaliyah'!I33)&gt;12)*1)+SUMPRODUCT((('Hector, Aaliyah'!I34+'Hector, Aaliyah'!I35)&gt;12)*1)+SUMPRODUCT((('Hector, Aaliyah'!I36+'Hector, Aaliyah'!I37)&gt;12)*1)+SUMPRODUCT((('Hector, Aaliyah'!I38+'Hector, Aaliyah'!I39)&gt;12)*1)+SUMPRODUCT((('Hector, Aaliyah'!I40+'Hector, Aaliyah'!I41)&gt;12)*1)+SUMPRODUCT((('Hector, Aaliyah'!I42+'Hector, Aaliyah'!I43)&gt;12)*1)+SUMPRODUCT((('Hector, Aaliyah'!I45+'Hector, Aaliyah'!I46)&gt;12)*1)+SUMPRODUCT((('Hector, Aaliyah'!I47+'Hector, Aaliyah'!I48)&gt;12)*1)</f>
        <v/>
      </c>
      <c r="G16" s="383">
        <f>IF(MAX(SUM('Hector, Aaliyah'!I14:I27),SUM('Hector, Aaliyah'!I30:I43))&gt;60,"Yes","")</f>
        <v/>
      </c>
      <c r="H16" s="383">
        <f>IF(OR(AND(('Hector, Aaliyah'!I14+'Hector, Aaliyah'!I15)&gt;0,('Hector, Aaliyah'!I16+'Hector, Aaliyah'!I17)&gt;0,('Hector, Aaliyah'!I18+'Hector, Aaliyah'!I19)&gt;0,('Hector, Aaliyah'!I20+'Hector, Aaliyah'!I21)&gt;0,('Hector, Aaliyah'!I22+'Hector, Aaliyah'!I23)&gt;0,('Hector, Aaliyah'!I24+'Hector, Aaliyah'!I25)&gt;0,('Hector, Aaliyah'!I26+'Hector, Aaliyah'!I27)&gt;0),AND(('Hector, Aaliyah'!I30+'Hector, Aaliyah'!I31)&gt;0,('Hector, Aaliyah'!I32+'Hector, Aaliyah'!I33)&gt;0,('Hector, Aaliyah'!I34+'Hector, Aaliyah'!I35)&gt;0,('Hector, Aaliyah'!I36+'Hector, Aaliyah'!I37)&gt;0,('Hector, Aaliyah'!I38+'Hector, Aaliyah'!I39)&gt;0,('Hector, Aaliyah'!I40+'Hector, Aaliyah'!I41)&gt;0,('Hector, Aaliyah'!I42+'Hector, Aaliyah'!I43)&gt;0)),"Yes","")</f>
        <v/>
      </c>
      <c r="I16" s="383">
        <f>IF('Hector, Aaliyah'!N49&gt;40,"Yes","")</f>
        <v/>
      </c>
      <c r="J16" s="383">
        <f>IF(OR(AND(SUM('Hector, Aaliyah'!I14:I27)&gt;0,SUM('Hector, Aaliyah'!I14:I27)&lt;40),AND(SUM('Hector, Aaliyah'!I30:I43)&gt;0,SUM('Hector, Aaliyah'!I30:I43)&lt;40)),"Yes","")</f>
        <v/>
      </c>
      <c r="K16" s="383">
        <f>SUMPRODUCT(('Hector, Aaliyah'!I14:I48&gt;0)*('Hector, Aaliyah'!I14:I48&lt;8))</f>
        <v/>
      </c>
      <c r="L16" s="383">
        <f>IF('Hector, Aaliyah'!Q50&lt;5,"Yes","")</f>
        <v/>
      </c>
      <c r="M16" s="383">
        <f>IF(AND('Hector, Aaliyah'!I49&gt;0,'Hector, Aaliyah'!I49&lt;80),"Yes","")</f>
        <v/>
      </c>
      <c r="N16" s="383">
        <f>IF(OR(F16&gt;0,G16="Yes",H16="Yes",I16="Yes"),"⚠️ OVERWORK",IF(OR(J16="Yes",K16&gt;0,L16="Yes",M16="Yes"),"🔻 UNDERWORK","✓ OK"))</f>
        <v/>
      </c>
    </row>
    <row r="17">
      <c r="A17" s="383" t="n">
        <v>13</v>
      </c>
      <c r="B17" s="384" t="inlineStr">
        <is>
          <t>Hector, Onicka Felicity</t>
        </is>
      </c>
      <c r="C17" s="383" t="inlineStr">
        <is>
          <t>5508</t>
        </is>
      </c>
      <c r="D17" s="383">
        <f>'Hector, Onicka'!I49</f>
        <v/>
      </c>
      <c r="E17" s="383">
        <f>'Hector, Onicka'!Q50</f>
        <v/>
      </c>
      <c r="F17" s="383">
        <f>SUMPRODUCT((('Hector, Onicka'!I14+'Hector, Onicka'!I15)&gt;12)*1)+SUMPRODUCT((('Hector, Onicka'!I16+'Hector, Onicka'!I17)&gt;12)*1)+SUMPRODUCT((('Hector, Onicka'!I18+'Hector, Onicka'!I19)&gt;12)*1)+SUMPRODUCT((('Hector, Onicka'!I20+'Hector, Onicka'!I21)&gt;12)*1)+SUMPRODUCT((('Hector, Onicka'!I22+'Hector, Onicka'!I23)&gt;12)*1)+SUMPRODUCT((('Hector, Onicka'!I24+'Hector, Onicka'!I25)&gt;12)*1)+SUMPRODUCT((('Hector, Onicka'!I26+'Hector, Onicka'!I27)&gt;12)*1)+SUMPRODUCT((('Hector, Onicka'!I30+'Hector, Onicka'!I31)&gt;12)*1)+SUMPRODUCT((('Hector, Onicka'!I32+'Hector, Onicka'!I33)&gt;12)*1)+SUMPRODUCT((('Hector, Onicka'!I34+'Hector, Onicka'!I35)&gt;12)*1)+SUMPRODUCT((('Hector, Onicka'!I36+'Hector, Onicka'!I37)&gt;12)*1)+SUMPRODUCT((('Hector, Onicka'!I38+'Hector, Onicka'!I39)&gt;12)*1)+SUMPRODUCT((('Hector, Onicka'!I40+'Hector, Onicka'!I41)&gt;12)*1)+SUMPRODUCT((('Hector, Onicka'!I42+'Hector, Onicka'!I43)&gt;12)*1)+SUMPRODUCT((('Hector, Onicka'!I45+'Hector, Onicka'!I46)&gt;12)*1)+SUMPRODUCT((('Hector, Onicka'!I47+'Hector, Onicka'!I48)&gt;12)*1)</f>
        <v/>
      </c>
      <c r="G17" s="383">
        <f>IF(MAX(SUM('Hector, Onicka'!I14:I27),SUM('Hector, Onicka'!I30:I43))&gt;60,"Yes","")</f>
        <v/>
      </c>
      <c r="H17" s="383">
        <f>IF(OR(AND(('Hector, Onicka'!I14+'Hector, Onicka'!I15)&gt;0,('Hector, Onicka'!I16+'Hector, Onicka'!I17)&gt;0,('Hector, Onicka'!I18+'Hector, Onicka'!I19)&gt;0,('Hector, Onicka'!I20+'Hector, Onicka'!I21)&gt;0,('Hector, Onicka'!I22+'Hector, Onicka'!I23)&gt;0,('Hector, Onicka'!I24+'Hector, Onicka'!I25)&gt;0,('Hector, Onicka'!I26+'Hector, Onicka'!I27)&gt;0),AND(('Hector, Onicka'!I30+'Hector, Onicka'!I31)&gt;0,('Hector, Onicka'!I32+'Hector, Onicka'!I33)&gt;0,('Hector, Onicka'!I34+'Hector, Onicka'!I35)&gt;0,('Hector, Onicka'!I36+'Hector, Onicka'!I37)&gt;0,('Hector, Onicka'!I38+'Hector, Onicka'!I39)&gt;0,('Hector, Onicka'!I40+'Hector, Onicka'!I41)&gt;0,('Hector, Onicka'!I42+'Hector, Onicka'!I43)&gt;0)),"Yes","")</f>
        <v/>
      </c>
      <c r="I17" s="383">
        <f>IF('Hector, Onicka'!N49&gt;40,"Yes","")</f>
        <v/>
      </c>
      <c r="J17" s="383">
        <f>IF(OR(AND(SUM('Hector, Onicka'!I14:I27)&gt;0,SUM('Hector, Onicka'!I14:I27)&lt;40),AND(SUM('Hector, Onicka'!I30:I43)&gt;0,SUM('Hector, Onicka'!I30:I43)&lt;40)),"Yes","")</f>
        <v/>
      </c>
      <c r="K17" s="383">
        <f>SUMPRODUCT(('Hector, Onicka'!I14:I48&gt;0)*('Hector, Onicka'!I14:I48&lt;8))</f>
        <v/>
      </c>
      <c r="L17" s="383">
        <f>IF('Hector, Onicka'!Q50&lt;5,"Yes","")</f>
        <v/>
      </c>
      <c r="M17" s="383">
        <f>IF(AND('Hector, Onicka'!I49&gt;0,'Hector, Onicka'!I49&lt;80),"Yes","")</f>
        <v/>
      </c>
      <c r="N17" s="383">
        <f>IF(OR(F17&gt;0,G17="Yes",H17="Yes",I17="Yes"),"⚠️ OVERWORK",IF(OR(J17="Yes",K17&gt;0,L17="Yes",M17="Yes"),"🔻 UNDERWORK","✓ OK"))</f>
        <v/>
      </c>
    </row>
    <row r="18">
      <c r="A18" s="383" t="n">
        <v>14</v>
      </c>
      <c r="B18" s="384" t="inlineStr">
        <is>
          <t>Inniss, Euci Patrice</t>
        </is>
      </c>
      <c r="C18" s="383" t="inlineStr">
        <is>
          <t>4959</t>
        </is>
      </c>
      <c r="D18" s="383">
        <f>'Inniss, Euci'!I49</f>
        <v/>
      </c>
      <c r="E18" s="383">
        <f>'Inniss, Euci'!Q50</f>
        <v/>
      </c>
      <c r="F18" s="383">
        <f>SUMPRODUCT((('Inniss, Euci'!I14+'Inniss, Euci'!I15)&gt;12)*1)+SUMPRODUCT((('Inniss, Euci'!I16+'Inniss, Euci'!I17)&gt;12)*1)+SUMPRODUCT((('Inniss, Euci'!I18+'Inniss, Euci'!I19)&gt;12)*1)+SUMPRODUCT((('Inniss, Euci'!I20+'Inniss, Euci'!I21)&gt;12)*1)+SUMPRODUCT((('Inniss, Euci'!I22+'Inniss, Euci'!I23)&gt;12)*1)+SUMPRODUCT((('Inniss, Euci'!I24+'Inniss, Euci'!I25)&gt;12)*1)+SUMPRODUCT((('Inniss, Euci'!I26+'Inniss, Euci'!I27)&gt;12)*1)+SUMPRODUCT((('Inniss, Euci'!I30+'Inniss, Euci'!I31)&gt;12)*1)+SUMPRODUCT((('Inniss, Euci'!I32+'Inniss, Euci'!I33)&gt;12)*1)+SUMPRODUCT((('Inniss, Euci'!I34+'Inniss, Euci'!I35)&gt;12)*1)+SUMPRODUCT((('Inniss, Euci'!I36+'Inniss, Euci'!I37)&gt;12)*1)+SUMPRODUCT((('Inniss, Euci'!I38+'Inniss, Euci'!I39)&gt;12)*1)+SUMPRODUCT((('Inniss, Euci'!I40+'Inniss, Euci'!I41)&gt;12)*1)+SUMPRODUCT((('Inniss, Euci'!I42+'Inniss, Euci'!I43)&gt;12)*1)+SUMPRODUCT((('Inniss, Euci'!I45+'Inniss, Euci'!I46)&gt;12)*1)+SUMPRODUCT((('Inniss, Euci'!I47+'Inniss, Euci'!I48)&gt;12)*1)</f>
        <v/>
      </c>
      <c r="G18" s="383">
        <f>IF(MAX(SUM('Inniss, Euci'!I14:I27),SUM('Inniss, Euci'!I30:I43))&gt;60,"Yes","")</f>
        <v/>
      </c>
      <c r="H18" s="383">
        <f>IF(OR(AND(('Inniss, Euci'!I14+'Inniss, Euci'!I15)&gt;0,('Inniss, Euci'!I16+'Inniss, Euci'!I17)&gt;0,('Inniss, Euci'!I18+'Inniss, Euci'!I19)&gt;0,('Inniss, Euci'!I20+'Inniss, Euci'!I21)&gt;0,('Inniss, Euci'!I22+'Inniss, Euci'!I23)&gt;0,('Inniss, Euci'!I24+'Inniss, Euci'!I25)&gt;0,('Inniss, Euci'!I26+'Inniss, Euci'!I27)&gt;0),AND(('Inniss, Euci'!I30+'Inniss, Euci'!I31)&gt;0,('Inniss, Euci'!I32+'Inniss, Euci'!I33)&gt;0,('Inniss, Euci'!I34+'Inniss, Euci'!I35)&gt;0,('Inniss, Euci'!I36+'Inniss, Euci'!I37)&gt;0,('Inniss, Euci'!I38+'Inniss, Euci'!I39)&gt;0,('Inniss, Euci'!I40+'Inniss, Euci'!I41)&gt;0,('Inniss, Euci'!I42+'Inniss, Euci'!I43)&gt;0)),"Yes","")</f>
        <v/>
      </c>
      <c r="I18" s="383">
        <f>IF('Inniss, Euci'!N49&gt;40,"Yes","")</f>
        <v/>
      </c>
      <c r="J18" s="383">
        <f>IF(OR(AND(SUM('Inniss, Euci'!I14:I27)&gt;0,SUM('Inniss, Euci'!I14:I27)&lt;40),AND(SUM('Inniss, Euci'!I30:I43)&gt;0,SUM('Inniss, Euci'!I30:I43)&lt;40)),"Yes","")</f>
        <v/>
      </c>
      <c r="K18" s="383">
        <f>SUMPRODUCT(('Inniss, Euci'!I14:I48&gt;0)*('Inniss, Euci'!I14:I48&lt;8))</f>
        <v/>
      </c>
      <c r="L18" s="383">
        <f>IF('Inniss, Euci'!Q50&lt;5,"Yes","")</f>
        <v/>
      </c>
      <c r="M18" s="383">
        <f>IF(AND('Inniss, Euci'!I49&gt;0,'Inniss, Euci'!I49&lt;80),"Yes","")</f>
        <v/>
      </c>
      <c r="N18" s="383">
        <f>IF(OR(F18&gt;0,G18="Yes",H18="Yes",I18="Yes"),"⚠️ OVERWORK",IF(OR(J18="Yes",K18&gt;0,L18="Yes",M18="Yes"),"🔻 UNDERWORK","✓ OK"))</f>
        <v/>
      </c>
    </row>
    <row r="19">
      <c r="A19" s="383" t="n">
        <v>15</v>
      </c>
      <c r="B19" s="384" t="inlineStr">
        <is>
          <t>Khan, Ahmad</t>
        </is>
      </c>
      <c r="C19" s="383" t="inlineStr">
        <is>
          <t>3219</t>
        </is>
      </c>
      <c r="D19" s="383">
        <f>'Khan, Ahmad'!I49</f>
        <v/>
      </c>
      <c r="E19" s="383">
        <f>'Khan, Ahmad'!Q50</f>
        <v/>
      </c>
      <c r="F19" s="383">
        <f>SUMPRODUCT((('Khan, Ahmad'!I14+'Khan, Ahmad'!I15)&gt;12)*1)+SUMPRODUCT((('Khan, Ahmad'!I16+'Khan, Ahmad'!I17)&gt;12)*1)+SUMPRODUCT((('Khan, Ahmad'!I18+'Khan, Ahmad'!I19)&gt;12)*1)+SUMPRODUCT((('Khan, Ahmad'!I20+'Khan, Ahmad'!I21)&gt;12)*1)+SUMPRODUCT((('Khan, Ahmad'!I22+'Khan, Ahmad'!I23)&gt;12)*1)+SUMPRODUCT((('Khan, Ahmad'!I24+'Khan, Ahmad'!I25)&gt;12)*1)+SUMPRODUCT((('Khan, Ahmad'!I26+'Khan, Ahmad'!I27)&gt;12)*1)+SUMPRODUCT((('Khan, Ahmad'!I30+'Khan, Ahmad'!I31)&gt;12)*1)+SUMPRODUCT((('Khan, Ahmad'!I32+'Khan, Ahmad'!I33)&gt;12)*1)+SUMPRODUCT((('Khan, Ahmad'!I34+'Khan, Ahmad'!I35)&gt;12)*1)+SUMPRODUCT((('Khan, Ahmad'!I36+'Khan, Ahmad'!I37)&gt;12)*1)+SUMPRODUCT((('Khan, Ahmad'!I38+'Khan, Ahmad'!I39)&gt;12)*1)+SUMPRODUCT((('Khan, Ahmad'!I40+'Khan, Ahmad'!I41)&gt;12)*1)+SUMPRODUCT((('Khan, Ahmad'!I42+'Khan, Ahmad'!I43)&gt;12)*1)+SUMPRODUCT((('Khan, Ahmad'!I45+'Khan, Ahmad'!I46)&gt;12)*1)+SUMPRODUCT((('Khan, Ahmad'!I47+'Khan, Ahmad'!I48)&gt;12)*1)</f>
        <v/>
      </c>
      <c r="G19" s="383">
        <f>IF(MAX(SUM('Khan, Ahmad'!I14:I27),SUM('Khan, Ahmad'!I30:I43))&gt;60,"Yes","")</f>
        <v/>
      </c>
      <c r="H19" s="383">
        <f>IF(OR(AND(('Khan, Ahmad'!I14+'Khan, Ahmad'!I15)&gt;0,('Khan, Ahmad'!I16+'Khan, Ahmad'!I17)&gt;0,('Khan, Ahmad'!I18+'Khan, Ahmad'!I19)&gt;0,('Khan, Ahmad'!I20+'Khan, Ahmad'!I21)&gt;0,('Khan, Ahmad'!I22+'Khan, Ahmad'!I23)&gt;0,('Khan, Ahmad'!I24+'Khan, Ahmad'!I25)&gt;0,('Khan, Ahmad'!I26+'Khan, Ahmad'!I27)&gt;0),AND(('Khan, Ahmad'!I30+'Khan, Ahmad'!I31)&gt;0,('Khan, Ahmad'!I32+'Khan, Ahmad'!I33)&gt;0,('Khan, Ahmad'!I34+'Khan, Ahmad'!I35)&gt;0,('Khan, Ahmad'!I36+'Khan, Ahmad'!I37)&gt;0,('Khan, Ahmad'!I38+'Khan, Ahmad'!I39)&gt;0,('Khan, Ahmad'!I40+'Khan, Ahmad'!I41)&gt;0,('Khan, Ahmad'!I42+'Khan, Ahmad'!I43)&gt;0)),"Yes","")</f>
        <v/>
      </c>
      <c r="I19" s="383">
        <f>IF('Khan, Ahmad'!N49&gt;40,"Yes","")</f>
        <v/>
      </c>
      <c r="J19" s="383">
        <f>IF(OR(AND(SUM('Khan, Ahmad'!I14:I27)&gt;0,SUM('Khan, Ahmad'!I14:I27)&lt;40),AND(SUM('Khan, Ahmad'!I30:I43)&gt;0,SUM('Khan, Ahmad'!I30:I43)&lt;40)),"Yes","")</f>
        <v/>
      </c>
      <c r="K19" s="383">
        <f>SUMPRODUCT(('Khan, Ahmad'!I14:I48&gt;0)*('Khan, Ahmad'!I14:I48&lt;8))</f>
        <v/>
      </c>
      <c r="L19" s="383">
        <f>IF('Khan, Ahmad'!Q50&lt;5,"Yes","")</f>
        <v/>
      </c>
      <c r="M19" s="383">
        <f>IF(AND('Khan, Ahmad'!I49&gt;0,'Khan, Ahmad'!I49&lt;80),"Yes","")</f>
        <v/>
      </c>
      <c r="N19" s="383">
        <f>IF(OR(F19&gt;0,G19="Yes",H19="Yes",I19="Yes"),"⚠️ OVERWORK",IF(OR(J19="Yes",K19&gt;0,L19="Yes",M19="Yes"),"🔻 UNDERWORK","✓ OK"))</f>
        <v/>
      </c>
    </row>
    <row r="20">
      <c r="A20" s="383" t="n">
        <v>16</v>
      </c>
      <c r="B20" s="384" t="inlineStr">
        <is>
          <t>Lawrence, Stephen Rawle</t>
        </is>
      </c>
      <c r="C20" s="383" t="inlineStr">
        <is>
          <t>5134</t>
        </is>
      </c>
      <c r="D20" s="383">
        <f>'Lawrence, Stephen'!I49</f>
        <v/>
      </c>
      <c r="E20" s="383">
        <f>'Lawrence, Stephen'!Q50</f>
        <v/>
      </c>
      <c r="F20" s="383">
        <f>SUMPRODUCT((('Lawrence, Stephen'!I14+'Lawrence, Stephen'!I15)&gt;12)*1)+SUMPRODUCT((('Lawrence, Stephen'!I16+'Lawrence, Stephen'!I17)&gt;12)*1)+SUMPRODUCT((('Lawrence, Stephen'!I18+'Lawrence, Stephen'!I19)&gt;12)*1)+SUMPRODUCT((('Lawrence, Stephen'!I20+'Lawrence, Stephen'!I21)&gt;12)*1)+SUMPRODUCT((('Lawrence, Stephen'!I22+'Lawrence, Stephen'!I23)&gt;12)*1)+SUMPRODUCT((('Lawrence, Stephen'!I24+'Lawrence, Stephen'!I25)&gt;12)*1)+SUMPRODUCT((('Lawrence, Stephen'!I26+'Lawrence, Stephen'!I27)&gt;12)*1)+SUMPRODUCT((('Lawrence, Stephen'!I30+'Lawrence, Stephen'!I31)&gt;12)*1)+SUMPRODUCT((('Lawrence, Stephen'!I32+'Lawrence, Stephen'!I33)&gt;12)*1)+SUMPRODUCT((('Lawrence, Stephen'!I34+'Lawrence, Stephen'!I35)&gt;12)*1)+SUMPRODUCT((('Lawrence, Stephen'!I36+'Lawrence, Stephen'!I37)&gt;12)*1)+SUMPRODUCT((('Lawrence, Stephen'!I38+'Lawrence, Stephen'!I39)&gt;12)*1)+SUMPRODUCT((('Lawrence, Stephen'!I40+'Lawrence, Stephen'!I41)&gt;12)*1)+SUMPRODUCT((('Lawrence, Stephen'!I42+'Lawrence, Stephen'!I43)&gt;12)*1)+SUMPRODUCT((('Lawrence, Stephen'!I45+'Lawrence, Stephen'!I46)&gt;12)*1)+SUMPRODUCT((('Lawrence, Stephen'!I47+'Lawrence, Stephen'!I48)&gt;12)*1)</f>
        <v/>
      </c>
      <c r="G20" s="383">
        <f>IF(MAX(SUM('Lawrence, Stephen'!I14:I27),SUM('Lawrence, Stephen'!I30:I43))&gt;60,"Yes","")</f>
        <v/>
      </c>
      <c r="H20" s="383">
        <f>IF(OR(AND(('Lawrence, Stephen'!I14+'Lawrence, Stephen'!I15)&gt;0,('Lawrence, Stephen'!I16+'Lawrence, Stephen'!I17)&gt;0,('Lawrence, Stephen'!I18+'Lawrence, Stephen'!I19)&gt;0,('Lawrence, Stephen'!I20+'Lawrence, Stephen'!I21)&gt;0,('Lawrence, Stephen'!I22+'Lawrence, Stephen'!I23)&gt;0,('Lawrence, Stephen'!I24+'Lawrence, Stephen'!I25)&gt;0,('Lawrence, Stephen'!I26+'Lawrence, Stephen'!I27)&gt;0),AND(('Lawrence, Stephen'!I30+'Lawrence, Stephen'!I31)&gt;0,('Lawrence, Stephen'!I32+'Lawrence, Stephen'!I33)&gt;0,('Lawrence, Stephen'!I34+'Lawrence, Stephen'!I35)&gt;0,('Lawrence, Stephen'!I36+'Lawrence, Stephen'!I37)&gt;0,('Lawrence, Stephen'!I38+'Lawrence, Stephen'!I39)&gt;0,('Lawrence, Stephen'!I40+'Lawrence, Stephen'!I41)&gt;0,('Lawrence, Stephen'!I42+'Lawrence, Stephen'!I43)&gt;0)),"Yes","")</f>
        <v/>
      </c>
      <c r="I20" s="383">
        <f>IF('Lawrence, Stephen'!N49&gt;40,"Yes","")</f>
        <v/>
      </c>
      <c r="J20" s="383">
        <f>IF(OR(AND(SUM('Lawrence, Stephen'!I14:I27)&gt;0,SUM('Lawrence, Stephen'!I14:I27)&lt;40),AND(SUM('Lawrence, Stephen'!I30:I43)&gt;0,SUM('Lawrence, Stephen'!I30:I43)&lt;40)),"Yes","")</f>
        <v/>
      </c>
      <c r="K20" s="383">
        <f>SUMPRODUCT(('Lawrence, Stephen'!I14:I48&gt;0)*('Lawrence, Stephen'!I14:I48&lt;8))</f>
        <v/>
      </c>
      <c r="L20" s="383">
        <f>IF('Lawrence, Stephen'!Q50&lt;5,"Yes","")</f>
        <v/>
      </c>
      <c r="M20" s="383">
        <f>IF(AND('Lawrence, Stephen'!I49&gt;0,'Lawrence, Stephen'!I49&lt;80),"Yes","")</f>
        <v/>
      </c>
      <c r="N20" s="383">
        <f>IF(OR(F20&gt;0,G20="Yes",H20="Yes",I20="Yes"),"⚠️ OVERWORK",IF(OR(J20="Yes",K20&gt;0,L20="Yes",M20="Yes"),"🔻 UNDERWORK","✓ OK"))</f>
        <v/>
      </c>
    </row>
    <row r="21">
      <c r="A21" s="383" t="n">
        <v>17</v>
      </c>
      <c r="B21" s="384" t="inlineStr">
        <is>
          <t>Lawson, Delicia Alicia</t>
        </is>
      </c>
      <c r="C21" s="383" t="inlineStr">
        <is>
          <t>4465</t>
        </is>
      </c>
      <c r="D21" s="383">
        <f>'Lawson, Delicia'!I49</f>
        <v/>
      </c>
      <c r="E21" s="383">
        <f>'Lawson, Delicia'!Q50</f>
        <v/>
      </c>
      <c r="F21" s="383">
        <f>SUMPRODUCT((('Lawson, Delicia'!I14+'Lawson, Delicia'!I15)&gt;12)*1)+SUMPRODUCT((('Lawson, Delicia'!I16+'Lawson, Delicia'!I17)&gt;12)*1)+SUMPRODUCT((('Lawson, Delicia'!I18+'Lawson, Delicia'!I19)&gt;12)*1)+SUMPRODUCT((('Lawson, Delicia'!I20+'Lawson, Delicia'!I21)&gt;12)*1)+SUMPRODUCT((('Lawson, Delicia'!I22+'Lawson, Delicia'!I23)&gt;12)*1)+SUMPRODUCT((('Lawson, Delicia'!I24+'Lawson, Delicia'!I25)&gt;12)*1)+SUMPRODUCT((('Lawson, Delicia'!I26+'Lawson, Delicia'!I27)&gt;12)*1)+SUMPRODUCT((('Lawson, Delicia'!I30+'Lawson, Delicia'!I31)&gt;12)*1)+SUMPRODUCT((('Lawson, Delicia'!I32+'Lawson, Delicia'!I33)&gt;12)*1)+SUMPRODUCT((('Lawson, Delicia'!I34+'Lawson, Delicia'!I35)&gt;12)*1)+SUMPRODUCT((('Lawson, Delicia'!I36+'Lawson, Delicia'!I37)&gt;12)*1)+SUMPRODUCT((('Lawson, Delicia'!I38+'Lawson, Delicia'!I39)&gt;12)*1)+SUMPRODUCT((('Lawson, Delicia'!I40+'Lawson, Delicia'!I41)&gt;12)*1)+SUMPRODUCT((('Lawson, Delicia'!I42+'Lawson, Delicia'!I43)&gt;12)*1)+SUMPRODUCT((('Lawson, Delicia'!I45+'Lawson, Delicia'!I46)&gt;12)*1)+SUMPRODUCT((('Lawson, Delicia'!I47+'Lawson, Delicia'!I48)&gt;12)*1)</f>
        <v/>
      </c>
      <c r="G21" s="383">
        <f>IF(MAX(SUM('Lawson, Delicia'!I14:I27),SUM('Lawson, Delicia'!I30:I43))&gt;60,"Yes","")</f>
        <v/>
      </c>
      <c r="H21" s="383">
        <f>IF(OR(AND(('Lawson, Delicia'!I14+'Lawson, Delicia'!I15)&gt;0,('Lawson, Delicia'!I16+'Lawson, Delicia'!I17)&gt;0,('Lawson, Delicia'!I18+'Lawson, Delicia'!I19)&gt;0,('Lawson, Delicia'!I20+'Lawson, Delicia'!I21)&gt;0,('Lawson, Delicia'!I22+'Lawson, Delicia'!I23)&gt;0,('Lawson, Delicia'!I24+'Lawson, Delicia'!I25)&gt;0,('Lawson, Delicia'!I26+'Lawson, Delicia'!I27)&gt;0),AND(('Lawson, Delicia'!I30+'Lawson, Delicia'!I31)&gt;0,('Lawson, Delicia'!I32+'Lawson, Delicia'!I33)&gt;0,('Lawson, Delicia'!I34+'Lawson, Delicia'!I35)&gt;0,('Lawson, Delicia'!I36+'Lawson, Delicia'!I37)&gt;0,('Lawson, Delicia'!I38+'Lawson, Delicia'!I39)&gt;0,('Lawson, Delicia'!I40+'Lawson, Delicia'!I41)&gt;0,('Lawson, Delicia'!I42+'Lawson, Delicia'!I43)&gt;0)),"Yes","")</f>
        <v/>
      </c>
      <c r="I21" s="383">
        <f>IF('Lawson, Delicia'!N49&gt;40,"Yes","")</f>
        <v/>
      </c>
      <c r="J21" s="383">
        <f>IF(OR(AND(SUM('Lawson, Delicia'!I14:I27)&gt;0,SUM('Lawson, Delicia'!I14:I27)&lt;40),AND(SUM('Lawson, Delicia'!I30:I43)&gt;0,SUM('Lawson, Delicia'!I30:I43)&lt;40)),"Yes","")</f>
        <v/>
      </c>
      <c r="K21" s="383">
        <f>SUMPRODUCT(('Lawson, Delicia'!I14:I48&gt;0)*('Lawson, Delicia'!I14:I48&lt;8))</f>
        <v/>
      </c>
      <c r="L21" s="383">
        <f>IF('Lawson, Delicia'!Q50&lt;5,"Yes","")</f>
        <v/>
      </c>
      <c r="M21" s="383">
        <f>IF(AND('Lawson, Delicia'!I49&gt;0,'Lawson, Delicia'!I49&lt;80),"Yes","")</f>
        <v/>
      </c>
      <c r="N21" s="383">
        <f>IF(OR(F21&gt;0,G21="Yes",H21="Yes",I21="Yes"),"⚠️ OVERWORK",IF(OR(J21="Yes",K21&gt;0,L21="Yes",M21="Yes"),"🔻 UNDERWORK","✓ OK"))</f>
        <v/>
      </c>
    </row>
    <row r="22">
      <c r="A22" s="383" t="n">
        <v>18</v>
      </c>
      <c r="B22" s="384" t="inlineStr">
        <is>
          <t>Lewis, Tahandica Fennela</t>
        </is>
      </c>
      <c r="C22" s="383" t="inlineStr">
        <is>
          <t>3767</t>
        </is>
      </c>
      <c r="D22" s="383">
        <f>'Lewis, Tahandica'!I49</f>
        <v/>
      </c>
      <c r="E22" s="383">
        <f>'Lewis, Tahandica'!Q50</f>
        <v/>
      </c>
      <c r="F22" s="383">
        <f>SUMPRODUCT((('Lewis, Tahandica'!I14+'Lewis, Tahandica'!I15)&gt;12)*1)+SUMPRODUCT((('Lewis, Tahandica'!I16+'Lewis, Tahandica'!I17)&gt;12)*1)+SUMPRODUCT((('Lewis, Tahandica'!I18+'Lewis, Tahandica'!I19)&gt;12)*1)+SUMPRODUCT((('Lewis, Tahandica'!I20+'Lewis, Tahandica'!I21)&gt;12)*1)+SUMPRODUCT((('Lewis, Tahandica'!I22+'Lewis, Tahandica'!I23)&gt;12)*1)+SUMPRODUCT((('Lewis, Tahandica'!I24+'Lewis, Tahandica'!I25)&gt;12)*1)+SUMPRODUCT((('Lewis, Tahandica'!I26+'Lewis, Tahandica'!I27)&gt;12)*1)+SUMPRODUCT((('Lewis, Tahandica'!I30+'Lewis, Tahandica'!I31)&gt;12)*1)+SUMPRODUCT((('Lewis, Tahandica'!I32+'Lewis, Tahandica'!I33)&gt;12)*1)+SUMPRODUCT((('Lewis, Tahandica'!I34+'Lewis, Tahandica'!I35)&gt;12)*1)+SUMPRODUCT((('Lewis, Tahandica'!I36+'Lewis, Tahandica'!I37)&gt;12)*1)+SUMPRODUCT((('Lewis, Tahandica'!I38+'Lewis, Tahandica'!I39)&gt;12)*1)+SUMPRODUCT((('Lewis, Tahandica'!I40+'Lewis, Tahandica'!I41)&gt;12)*1)+SUMPRODUCT((('Lewis, Tahandica'!I42+'Lewis, Tahandica'!I43)&gt;12)*1)+SUMPRODUCT((('Lewis, Tahandica'!I45+'Lewis, Tahandica'!I46)&gt;12)*1)+SUMPRODUCT((('Lewis, Tahandica'!I47+'Lewis, Tahandica'!I48)&gt;12)*1)</f>
        <v/>
      </c>
      <c r="G22" s="383">
        <f>IF(MAX(SUM('Lewis, Tahandica'!I14:I27),SUM('Lewis, Tahandica'!I30:I43))&gt;60,"Yes","")</f>
        <v/>
      </c>
      <c r="H22" s="383">
        <f>IF(OR(AND(('Lewis, Tahandica'!I14+'Lewis, Tahandica'!I15)&gt;0,('Lewis, Tahandica'!I16+'Lewis, Tahandica'!I17)&gt;0,('Lewis, Tahandica'!I18+'Lewis, Tahandica'!I19)&gt;0,('Lewis, Tahandica'!I20+'Lewis, Tahandica'!I21)&gt;0,('Lewis, Tahandica'!I22+'Lewis, Tahandica'!I23)&gt;0,('Lewis, Tahandica'!I24+'Lewis, Tahandica'!I25)&gt;0,('Lewis, Tahandica'!I26+'Lewis, Tahandica'!I27)&gt;0),AND(('Lewis, Tahandica'!I30+'Lewis, Tahandica'!I31)&gt;0,('Lewis, Tahandica'!I32+'Lewis, Tahandica'!I33)&gt;0,('Lewis, Tahandica'!I34+'Lewis, Tahandica'!I35)&gt;0,('Lewis, Tahandica'!I36+'Lewis, Tahandica'!I37)&gt;0,('Lewis, Tahandica'!I38+'Lewis, Tahandica'!I39)&gt;0,('Lewis, Tahandica'!I40+'Lewis, Tahandica'!I41)&gt;0,('Lewis, Tahandica'!I42+'Lewis, Tahandica'!I43)&gt;0)),"Yes","")</f>
        <v/>
      </c>
      <c r="I22" s="383">
        <f>IF('Lewis, Tahandica'!N49&gt;40,"Yes","")</f>
        <v/>
      </c>
      <c r="J22" s="383">
        <f>IF(OR(AND(SUM('Lewis, Tahandica'!I14:I27)&gt;0,SUM('Lewis, Tahandica'!I14:I27)&lt;40),AND(SUM('Lewis, Tahandica'!I30:I43)&gt;0,SUM('Lewis, Tahandica'!I30:I43)&lt;40)),"Yes","")</f>
        <v/>
      </c>
      <c r="K22" s="383">
        <f>SUMPRODUCT(('Lewis, Tahandica'!I14:I48&gt;0)*('Lewis, Tahandica'!I14:I48&lt;8))</f>
        <v/>
      </c>
      <c r="L22" s="383">
        <f>IF('Lewis, Tahandica'!Q50&lt;5,"Yes","")</f>
        <v/>
      </c>
      <c r="M22" s="383">
        <f>IF(AND('Lewis, Tahandica'!I49&gt;0,'Lewis, Tahandica'!I49&lt;80),"Yes","")</f>
        <v/>
      </c>
      <c r="N22" s="383">
        <f>IF(OR(F22&gt;0,G22="Yes",H22="Yes",I22="Yes"),"⚠️ OVERWORK",IF(OR(J22="Yes",K22&gt;0,L22="Yes",M22="Yes"),"🔻 UNDERWORK","✓ OK"))</f>
        <v/>
      </c>
    </row>
    <row r="23">
      <c r="A23" s="383" t="n">
        <v>19</v>
      </c>
      <c r="B23" s="384" t="inlineStr">
        <is>
          <t>Nelson, Keshia Andrea</t>
        </is>
      </c>
      <c r="C23" s="383" t="inlineStr">
        <is>
          <t>2744</t>
        </is>
      </c>
      <c r="D23" s="383">
        <f>'Nelson, Keshia'!I49</f>
        <v/>
      </c>
      <c r="E23" s="383">
        <f>'Nelson, Keshia'!Q50</f>
        <v/>
      </c>
      <c r="F23" s="383">
        <f>SUMPRODUCT((('Nelson, Keshia'!I14+'Nelson, Keshia'!I15)&gt;12)*1)+SUMPRODUCT((('Nelson, Keshia'!I16+'Nelson, Keshia'!I17)&gt;12)*1)+SUMPRODUCT((('Nelson, Keshia'!I18+'Nelson, Keshia'!I19)&gt;12)*1)+SUMPRODUCT((('Nelson, Keshia'!I20+'Nelson, Keshia'!I21)&gt;12)*1)+SUMPRODUCT((('Nelson, Keshia'!I22+'Nelson, Keshia'!I23)&gt;12)*1)+SUMPRODUCT((('Nelson, Keshia'!I24+'Nelson, Keshia'!I25)&gt;12)*1)+SUMPRODUCT((('Nelson, Keshia'!I26+'Nelson, Keshia'!I27)&gt;12)*1)+SUMPRODUCT((('Nelson, Keshia'!I30+'Nelson, Keshia'!I31)&gt;12)*1)+SUMPRODUCT((('Nelson, Keshia'!I32+'Nelson, Keshia'!I33)&gt;12)*1)+SUMPRODUCT((('Nelson, Keshia'!I34+'Nelson, Keshia'!I35)&gt;12)*1)+SUMPRODUCT((('Nelson, Keshia'!I36+'Nelson, Keshia'!I37)&gt;12)*1)+SUMPRODUCT((('Nelson, Keshia'!I38+'Nelson, Keshia'!I39)&gt;12)*1)+SUMPRODUCT((('Nelson, Keshia'!I40+'Nelson, Keshia'!I41)&gt;12)*1)+SUMPRODUCT((('Nelson, Keshia'!I42+'Nelson, Keshia'!I43)&gt;12)*1)+SUMPRODUCT((('Nelson, Keshia'!I45+'Nelson, Keshia'!I46)&gt;12)*1)+SUMPRODUCT((('Nelson, Keshia'!I47+'Nelson, Keshia'!I48)&gt;12)*1)</f>
        <v/>
      </c>
      <c r="G23" s="383">
        <f>IF(MAX(SUM('Nelson, Keshia'!I14:I27),SUM('Nelson, Keshia'!I30:I43))&gt;60,"Yes","")</f>
        <v/>
      </c>
      <c r="H23" s="383">
        <f>IF(OR(AND(('Nelson, Keshia'!I14+'Nelson, Keshia'!I15)&gt;0,('Nelson, Keshia'!I16+'Nelson, Keshia'!I17)&gt;0,('Nelson, Keshia'!I18+'Nelson, Keshia'!I19)&gt;0,('Nelson, Keshia'!I20+'Nelson, Keshia'!I21)&gt;0,('Nelson, Keshia'!I22+'Nelson, Keshia'!I23)&gt;0,('Nelson, Keshia'!I24+'Nelson, Keshia'!I25)&gt;0,('Nelson, Keshia'!I26+'Nelson, Keshia'!I27)&gt;0),AND(('Nelson, Keshia'!I30+'Nelson, Keshia'!I31)&gt;0,('Nelson, Keshia'!I32+'Nelson, Keshia'!I33)&gt;0,('Nelson, Keshia'!I34+'Nelson, Keshia'!I35)&gt;0,('Nelson, Keshia'!I36+'Nelson, Keshia'!I37)&gt;0,('Nelson, Keshia'!I38+'Nelson, Keshia'!I39)&gt;0,('Nelson, Keshia'!I40+'Nelson, Keshia'!I41)&gt;0,('Nelson, Keshia'!I42+'Nelson, Keshia'!I43)&gt;0)),"Yes","")</f>
        <v/>
      </c>
      <c r="I23" s="383">
        <f>IF('Nelson, Keshia'!N49&gt;40,"Yes","")</f>
        <v/>
      </c>
      <c r="J23" s="383">
        <f>IF(OR(AND(SUM('Nelson, Keshia'!I14:I27)&gt;0,SUM('Nelson, Keshia'!I14:I27)&lt;40),AND(SUM('Nelson, Keshia'!I30:I43)&gt;0,SUM('Nelson, Keshia'!I30:I43)&lt;40)),"Yes","")</f>
        <v/>
      </c>
      <c r="K23" s="383">
        <f>SUMPRODUCT(('Nelson, Keshia'!I14:I48&gt;0)*('Nelson, Keshia'!I14:I48&lt;8))</f>
        <v/>
      </c>
      <c r="L23" s="383">
        <f>IF('Nelson, Keshia'!Q50&lt;5,"Yes","")</f>
        <v/>
      </c>
      <c r="M23" s="383">
        <f>IF(AND('Nelson, Keshia'!I49&gt;0,'Nelson, Keshia'!I49&lt;80),"Yes","")</f>
        <v/>
      </c>
      <c r="N23" s="383">
        <f>IF(OR(F23&gt;0,G23="Yes",H23="Yes",I23="Yes"),"⚠️ OVERWORK",IF(OR(J23="Yes",K23&gt;0,L23="Yes",M23="Yes"),"🔻 UNDERWORK","✓ OK"))</f>
        <v/>
      </c>
    </row>
    <row r="24">
      <c r="A24" s="383" t="n">
        <v>20</v>
      </c>
      <c r="B24" s="384" t="inlineStr">
        <is>
          <t>Parris, Ceyon Nickosie</t>
        </is>
      </c>
      <c r="C24" s="383" t="inlineStr">
        <is>
          <t>4885</t>
        </is>
      </c>
      <c r="D24" s="383">
        <f>'Parris, Ceyon'!I49</f>
        <v/>
      </c>
      <c r="E24" s="383">
        <f>'Parris, Ceyon'!Q50</f>
        <v/>
      </c>
      <c r="F24" s="383">
        <f>SUMPRODUCT((('Parris, Ceyon'!I14+'Parris, Ceyon'!I15)&gt;12)*1)+SUMPRODUCT((('Parris, Ceyon'!I16+'Parris, Ceyon'!I17)&gt;12)*1)+SUMPRODUCT((('Parris, Ceyon'!I18+'Parris, Ceyon'!I19)&gt;12)*1)+SUMPRODUCT((('Parris, Ceyon'!I20+'Parris, Ceyon'!I21)&gt;12)*1)+SUMPRODUCT((('Parris, Ceyon'!I22+'Parris, Ceyon'!I23)&gt;12)*1)+SUMPRODUCT((('Parris, Ceyon'!I24+'Parris, Ceyon'!I25)&gt;12)*1)+SUMPRODUCT((('Parris, Ceyon'!I26+'Parris, Ceyon'!I27)&gt;12)*1)+SUMPRODUCT((('Parris, Ceyon'!I30+'Parris, Ceyon'!I31)&gt;12)*1)+SUMPRODUCT((('Parris, Ceyon'!I32+'Parris, Ceyon'!I33)&gt;12)*1)+SUMPRODUCT((('Parris, Ceyon'!I34+'Parris, Ceyon'!I35)&gt;12)*1)+SUMPRODUCT((('Parris, Ceyon'!I36+'Parris, Ceyon'!I37)&gt;12)*1)+SUMPRODUCT((('Parris, Ceyon'!I38+'Parris, Ceyon'!I39)&gt;12)*1)+SUMPRODUCT((('Parris, Ceyon'!I40+'Parris, Ceyon'!I41)&gt;12)*1)+SUMPRODUCT((('Parris, Ceyon'!I42+'Parris, Ceyon'!I43)&gt;12)*1)+SUMPRODUCT((('Parris, Ceyon'!I45+'Parris, Ceyon'!I46)&gt;12)*1)+SUMPRODUCT((('Parris, Ceyon'!I47+'Parris, Ceyon'!I48)&gt;12)*1)</f>
        <v/>
      </c>
      <c r="G24" s="383">
        <f>IF(MAX(SUM('Parris, Ceyon'!I14:I27),SUM('Parris, Ceyon'!I30:I43))&gt;60,"Yes","")</f>
        <v/>
      </c>
      <c r="H24" s="383">
        <f>IF(OR(AND(('Parris, Ceyon'!I14+'Parris, Ceyon'!I15)&gt;0,('Parris, Ceyon'!I16+'Parris, Ceyon'!I17)&gt;0,('Parris, Ceyon'!I18+'Parris, Ceyon'!I19)&gt;0,('Parris, Ceyon'!I20+'Parris, Ceyon'!I21)&gt;0,('Parris, Ceyon'!I22+'Parris, Ceyon'!I23)&gt;0,('Parris, Ceyon'!I24+'Parris, Ceyon'!I25)&gt;0,('Parris, Ceyon'!I26+'Parris, Ceyon'!I27)&gt;0),AND(('Parris, Ceyon'!I30+'Parris, Ceyon'!I31)&gt;0,('Parris, Ceyon'!I32+'Parris, Ceyon'!I33)&gt;0,('Parris, Ceyon'!I34+'Parris, Ceyon'!I35)&gt;0,('Parris, Ceyon'!I36+'Parris, Ceyon'!I37)&gt;0,('Parris, Ceyon'!I38+'Parris, Ceyon'!I39)&gt;0,('Parris, Ceyon'!I40+'Parris, Ceyon'!I41)&gt;0,('Parris, Ceyon'!I42+'Parris, Ceyon'!I43)&gt;0)),"Yes","")</f>
        <v/>
      </c>
      <c r="I24" s="383">
        <f>IF('Parris, Ceyon'!N49&gt;40,"Yes","")</f>
        <v/>
      </c>
      <c r="J24" s="383">
        <f>IF(OR(AND(SUM('Parris, Ceyon'!I14:I27)&gt;0,SUM('Parris, Ceyon'!I14:I27)&lt;40),AND(SUM('Parris, Ceyon'!I30:I43)&gt;0,SUM('Parris, Ceyon'!I30:I43)&lt;40)),"Yes","")</f>
        <v/>
      </c>
      <c r="K24" s="383">
        <f>SUMPRODUCT(('Parris, Ceyon'!I14:I48&gt;0)*('Parris, Ceyon'!I14:I48&lt;8))</f>
        <v/>
      </c>
      <c r="L24" s="383">
        <f>IF('Parris, Ceyon'!Q50&lt;5,"Yes","")</f>
        <v/>
      </c>
      <c r="M24" s="383">
        <f>IF(AND('Parris, Ceyon'!I49&gt;0,'Parris, Ceyon'!I49&lt;80),"Yes","")</f>
        <v/>
      </c>
      <c r="N24" s="383">
        <f>IF(OR(F24&gt;0,G24="Yes",H24="Yes",I24="Yes"),"⚠️ OVERWORK",IF(OR(J24="Yes",K24&gt;0,L24="Yes",M24="Yes"),"🔻 UNDERWORK","✓ OK"))</f>
        <v/>
      </c>
    </row>
    <row r="25">
      <c r="A25" s="383" t="n">
        <v>21</v>
      </c>
      <c r="B25" s="384" t="inlineStr">
        <is>
          <t>Phoenix, Ryan</t>
        </is>
      </c>
      <c r="C25" s="383" t="inlineStr">
        <is>
          <t>2826</t>
        </is>
      </c>
      <c r="D25" s="383">
        <f>'Phoenix, Ryan'!I49</f>
        <v/>
      </c>
      <c r="E25" s="383">
        <f>'Phoenix, Ryan'!Q50</f>
        <v/>
      </c>
      <c r="F25" s="383">
        <f>SUMPRODUCT((('Phoenix, Ryan'!I14+'Phoenix, Ryan'!I15)&gt;12)*1)+SUMPRODUCT((('Phoenix, Ryan'!I16+'Phoenix, Ryan'!I17)&gt;12)*1)+SUMPRODUCT((('Phoenix, Ryan'!I18+'Phoenix, Ryan'!I19)&gt;12)*1)+SUMPRODUCT((('Phoenix, Ryan'!I20+'Phoenix, Ryan'!I21)&gt;12)*1)+SUMPRODUCT((('Phoenix, Ryan'!I22+'Phoenix, Ryan'!I23)&gt;12)*1)+SUMPRODUCT((('Phoenix, Ryan'!I24+'Phoenix, Ryan'!I25)&gt;12)*1)+SUMPRODUCT((('Phoenix, Ryan'!I26+'Phoenix, Ryan'!I27)&gt;12)*1)+SUMPRODUCT((('Phoenix, Ryan'!I30+'Phoenix, Ryan'!I31)&gt;12)*1)+SUMPRODUCT((('Phoenix, Ryan'!I32+'Phoenix, Ryan'!I33)&gt;12)*1)+SUMPRODUCT((('Phoenix, Ryan'!I34+'Phoenix, Ryan'!I35)&gt;12)*1)+SUMPRODUCT((('Phoenix, Ryan'!I36+'Phoenix, Ryan'!I37)&gt;12)*1)+SUMPRODUCT((('Phoenix, Ryan'!I38+'Phoenix, Ryan'!I39)&gt;12)*1)+SUMPRODUCT((('Phoenix, Ryan'!I40+'Phoenix, Ryan'!I41)&gt;12)*1)+SUMPRODUCT((('Phoenix, Ryan'!I42+'Phoenix, Ryan'!I43)&gt;12)*1)+SUMPRODUCT((('Phoenix, Ryan'!I45+'Phoenix, Ryan'!I46)&gt;12)*1)+SUMPRODUCT((('Phoenix, Ryan'!I47+'Phoenix, Ryan'!I48)&gt;12)*1)</f>
        <v/>
      </c>
      <c r="G25" s="383">
        <f>IF(MAX(SUM('Phoenix, Ryan'!I14:I27),SUM('Phoenix, Ryan'!I30:I43))&gt;60,"Yes","")</f>
        <v/>
      </c>
      <c r="H25" s="383">
        <f>IF(OR(AND(('Phoenix, Ryan'!I14+'Phoenix, Ryan'!I15)&gt;0,('Phoenix, Ryan'!I16+'Phoenix, Ryan'!I17)&gt;0,('Phoenix, Ryan'!I18+'Phoenix, Ryan'!I19)&gt;0,('Phoenix, Ryan'!I20+'Phoenix, Ryan'!I21)&gt;0,('Phoenix, Ryan'!I22+'Phoenix, Ryan'!I23)&gt;0,('Phoenix, Ryan'!I24+'Phoenix, Ryan'!I25)&gt;0,('Phoenix, Ryan'!I26+'Phoenix, Ryan'!I27)&gt;0),AND(('Phoenix, Ryan'!I30+'Phoenix, Ryan'!I31)&gt;0,('Phoenix, Ryan'!I32+'Phoenix, Ryan'!I33)&gt;0,('Phoenix, Ryan'!I34+'Phoenix, Ryan'!I35)&gt;0,('Phoenix, Ryan'!I36+'Phoenix, Ryan'!I37)&gt;0,('Phoenix, Ryan'!I38+'Phoenix, Ryan'!I39)&gt;0,('Phoenix, Ryan'!I40+'Phoenix, Ryan'!I41)&gt;0,('Phoenix, Ryan'!I42+'Phoenix, Ryan'!I43)&gt;0)),"Yes","")</f>
        <v/>
      </c>
      <c r="I25" s="383">
        <f>IF('Phoenix, Ryan'!N49&gt;40,"Yes","")</f>
        <v/>
      </c>
      <c r="J25" s="383">
        <f>IF(OR(AND(SUM('Phoenix, Ryan'!I14:I27)&gt;0,SUM('Phoenix, Ryan'!I14:I27)&lt;40),AND(SUM('Phoenix, Ryan'!I30:I43)&gt;0,SUM('Phoenix, Ryan'!I30:I43)&lt;40)),"Yes","")</f>
        <v/>
      </c>
      <c r="K25" s="383">
        <f>SUMPRODUCT(('Phoenix, Ryan'!I14:I48&gt;0)*('Phoenix, Ryan'!I14:I48&lt;8))</f>
        <v/>
      </c>
      <c r="L25" s="383">
        <f>IF('Phoenix, Ryan'!Q50&lt;5,"Yes","")</f>
        <v/>
      </c>
      <c r="M25" s="383">
        <f>IF(AND('Phoenix, Ryan'!I49&gt;0,'Phoenix, Ryan'!I49&lt;80),"Yes","")</f>
        <v/>
      </c>
      <c r="N25" s="383">
        <f>IF(OR(F25&gt;0,G25="Yes",H25="Yes",I25="Yes"),"⚠️ OVERWORK",IF(OR(J25="Yes",K25&gt;0,L25="Yes",M25="Yes"),"🔻 UNDERWORK","✓ OK"))</f>
        <v/>
      </c>
    </row>
    <row r="26">
      <c r="A26" s="383" t="n">
        <v>22</v>
      </c>
      <c r="B26" s="384" t="inlineStr">
        <is>
          <t>Pollard, Lotoya Letitia</t>
        </is>
      </c>
      <c r="C26" s="383" t="inlineStr">
        <is>
          <t>4850</t>
        </is>
      </c>
      <c r="D26" s="383">
        <f>'Pollard, Lotoya'!I49</f>
        <v/>
      </c>
      <c r="E26" s="383">
        <f>'Pollard, Lotoya'!Q50</f>
        <v/>
      </c>
      <c r="F26" s="383">
        <f>SUMPRODUCT((('Pollard, Lotoya'!I14+'Pollard, Lotoya'!I15)&gt;12)*1)+SUMPRODUCT((('Pollard, Lotoya'!I16+'Pollard, Lotoya'!I17)&gt;12)*1)+SUMPRODUCT((('Pollard, Lotoya'!I18+'Pollard, Lotoya'!I19)&gt;12)*1)+SUMPRODUCT((('Pollard, Lotoya'!I20+'Pollard, Lotoya'!I21)&gt;12)*1)+SUMPRODUCT((('Pollard, Lotoya'!I22+'Pollard, Lotoya'!I23)&gt;12)*1)+SUMPRODUCT((('Pollard, Lotoya'!I24+'Pollard, Lotoya'!I25)&gt;12)*1)+SUMPRODUCT((('Pollard, Lotoya'!I26+'Pollard, Lotoya'!I27)&gt;12)*1)+SUMPRODUCT((('Pollard, Lotoya'!I30+'Pollard, Lotoya'!I31)&gt;12)*1)+SUMPRODUCT((('Pollard, Lotoya'!I32+'Pollard, Lotoya'!I33)&gt;12)*1)+SUMPRODUCT((('Pollard, Lotoya'!I34+'Pollard, Lotoya'!I35)&gt;12)*1)+SUMPRODUCT((('Pollard, Lotoya'!I36+'Pollard, Lotoya'!I37)&gt;12)*1)+SUMPRODUCT((('Pollard, Lotoya'!I38+'Pollard, Lotoya'!I39)&gt;12)*1)+SUMPRODUCT((('Pollard, Lotoya'!I40+'Pollard, Lotoya'!I41)&gt;12)*1)+SUMPRODUCT((('Pollard, Lotoya'!I42+'Pollard, Lotoya'!I43)&gt;12)*1)+SUMPRODUCT((('Pollard, Lotoya'!I45+'Pollard, Lotoya'!I46)&gt;12)*1)+SUMPRODUCT((('Pollard, Lotoya'!I47+'Pollard, Lotoya'!I48)&gt;12)*1)</f>
        <v/>
      </c>
      <c r="G26" s="383">
        <f>IF(MAX(SUM('Pollard, Lotoya'!I14:I27),SUM('Pollard, Lotoya'!I30:I43))&gt;60,"Yes","")</f>
        <v/>
      </c>
      <c r="H26" s="383">
        <f>IF(OR(AND(('Pollard, Lotoya'!I14+'Pollard, Lotoya'!I15)&gt;0,('Pollard, Lotoya'!I16+'Pollard, Lotoya'!I17)&gt;0,('Pollard, Lotoya'!I18+'Pollard, Lotoya'!I19)&gt;0,('Pollard, Lotoya'!I20+'Pollard, Lotoya'!I21)&gt;0,('Pollard, Lotoya'!I22+'Pollard, Lotoya'!I23)&gt;0,('Pollard, Lotoya'!I24+'Pollard, Lotoya'!I25)&gt;0,('Pollard, Lotoya'!I26+'Pollard, Lotoya'!I27)&gt;0),AND(('Pollard, Lotoya'!I30+'Pollard, Lotoya'!I31)&gt;0,('Pollard, Lotoya'!I32+'Pollard, Lotoya'!I33)&gt;0,('Pollard, Lotoya'!I34+'Pollard, Lotoya'!I35)&gt;0,('Pollard, Lotoya'!I36+'Pollard, Lotoya'!I37)&gt;0,('Pollard, Lotoya'!I38+'Pollard, Lotoya'!I39)&gt;0,('Pollard, Lotoya'!I40+'Pollard, Lotoya'!I41)&gt;0,('Pollard, Lotoya'!I42+'Pollard, Lotoya'!I43)&gt;0)),"Yes","")</f>
        <v/>
      </c>
      <c r="I26" s="383">
        <f>IF('Pollard, Lotoya'!N49&gt;40,"Yes","")</f>
        <v/>
      </c>
      <c r="J26" s="383">
        <f>IF(OR(AND(SUM('Pollard, Lotoya'!I14:I27)&gt;0,SUM('Pollard, Lotoya'!I14:I27)&lt;40),AND(SUM('Pollard, Lotoya'!I30:I43)&gt;0,SUM('Pollard, Lotoya'!I30:I43)&lt;40)),"Yes","")</f>
        <v/>
      </c>
      <c r="K26" s="383">
        <f>SUMPRODUCT(('Pollard, Lotoya'!I14:I48&gt;0)*('Pollard, Lotoya'!I14:I48&lt;8))</f>
        <v/>
      </c>
      <c r="L26" s="383">
        <f>IF('Pollard, Lotoya'!Q50&lt;5,"Yes","")</f>
        <v/>
      </c>
      <c r="M26" s="383">
        <f>IF(AND('Pollard, Lotoya'!I49&gt;0,'Pollard, Lotoya'!I49&lt;80),"Yes","")</f>
        <v/>
      </c>
      <c r="N26" s="383">
        <f>IF(OR(F26&gt;0,G26="Yes",H26="Yes",I26="Yes"),"⚠️ OVERWORK",IF(OR(J26="Yes",K26&gt;0,L26="Yes",M26="Yes"),"🔻 UNDERWORK","✓ OK"))</f>
        <v/>
      </c>
    </row>
    <row r="27">
      <c r="A27" s="383" t="n">
        <v>23</v>
      </c>
      <c r="B27" s="384" t="inlineStr">
        <is>
          <t>Reynolds, Kevin Timothy</t>
        </is>
      </c>
      <c r="C27" s="383" t="inlineStr">
        <is>
          <t>4658</t>
        </is>
      </c>
      <c r="D27" s="383">
        <f>'Reynolds, Kevin'!I49</f>
        <v/>
      </c>
      <c r="E27" s="383">
        <f>'Reynolds, Kevin'!Q50</f>
        <v/>
      </c>
      <c r="F27" s="383">
        <f>SUMPRODUCT((('Reynolds, Kevin'!I14+'Reynolds, Kevin'!I15)&gt;12)*1)+SUMPRODUCT((('Reynolds, Kevin'!I16+'Reynolds, Kevin'!I17)&gt;12)*1)+SUMPRODUCT((('Reynolds, Kevin'!I18+'Reynolds, Kevin'!I19)&gt;12)*1)+SUMPRODUCT((('Reynolds, Kevin'!I20+'Reynolds, Kevin'!I21)&gt;12)*1)+SUMPRODUCT((('Reynolds, Kevin'!I22+'Reynolds, Kevin'!I23)&gt;12)*1)+SUMPRODUCT((('Reynolds, Kevin'!I24+'Reynolds, Kevin'!I25)&gt;12)*1)+SUMPRODUCT((('Reynolds, Kevin'!I26+'Reynolds, Kevin'!I27)&gt;12)*1)+SUMPRODUCT((('Reynolds, Kevin'!I30+'Reynolds, Kevin'!I31)&gt;12)*1)+SUMPRODUCT((('Reynolds, Kevin'!I32+'Reynolds, Kevin'!I33)&gt;12)*1)+SUMPRODUCT((('Reynolds, Kevin'!I34+'Reynolds, Kevin'!I35)&gt;12)*1)+SUMPRODUCT((('Reynolds, Kevin'!I36+'Reynolds, Kevin'!I37)&gt;12)*1)+SUMPRODUCT((('Reynolds, Kevin'!I38+'Reynolds, Kevin'!I39)&gt;12)*1)+SUMPRODUCT((('Reynolds, Kevin'!I40+'Reynolds, Kevin'!I41)&gt;12)*1)+SUMPRODUCT((('Reynolds, Kevin'!I42+'Reynolds, Kevin'!I43)&gt;12)*1)+SUMPRODUCT((('Reynolds, Kevin'!I45+'Reynolds, Kevin'!I46)&gt;12)*1)+SUMPRODUCT((('Reynolds, Kevin'!I47+'Reynolds, Kevin'!I48)&gt;12)*1)</f>
        <v/>
      </c>
      <c r="G27" s="383">
        <f>IF(MAX(SUM('Reynolds, Kevin'!I14:I27),SUM('Reynolds, Kevin'!I30:I43))&gt;60,"Yes","")</f>
        <v/>
      </c>
      <c r="H27" s="383">
        <f>IF(OR(AND(('Reynolds, Kevin'!I14+'Reynolds, Kevin'!I15)&gt;0,('Reynolds, Kevin'!I16+'Reynolds, Kevin'!I17)&gt;0,('Reynolds, Kevin'!I18+'Reynolds, Kevin'!I19)&gt;0,('Reynolds, Kevin'!I20+'Reynolds, Kevin'!I21)&gt;0,('Reynolds, Kevin'!I22+'Reynolds, Kevin'!I23)&gt;0,('Reynolds, Kevin'!I24+'Reynolds, Kevin'!I25)&gt;0,('Reynolds, Kevin'!I26+'Reynolds, Kevin'!I27)&gt;0),AND(('Reynolds, Kevin'!I30+'Reynolds, Kevin'!I31)&gt;0,('Reynolds, Kevin'!I32+'Reynolds, Kevin'!I33)&gt;0,('Reynolds, Kevin'!I34+'Reynolds, Kevin'!I35)&gt;0,('Reynolds, Kevin'!I36+'Reynolds, Kevin'!I37)&gt;0,('Reynolds, Kevin'!I38+'Reynolds, Kevin'!I39)&gt;0,('Reynolds, Kevin'!I40+'Reynolds, Kevin'!I41)&gt;0,('Reynolds, Kevin'!I42+'Reynolds, Kevin'!I43)&gt;0)),"Yes","")</f>
        <v/>
      </c>
      <c r="I27" s="383">
        <f>IF('Reynolds, Kevin'!N49&gt;40,"Yes","")</f>
        <v/>
      </c>
      <c r="J27" s="383">
        <f>IF(OR(AND(SUM('Reynolds, Kevin'!I14:I27)&gt;0,SUM('Reynolds, Kevin'!I14:I27)&lt;40),AND(SUM('Reynolds, Kevin'!I30:I43)&gt;0,SUM('Reynolds, Kevin'!I30:I43)&lt;40)),"Yes","")</f>
        <v/>
      </c>
      <c r="K27" s="383">
        <f>SUMPRODUCT(('Reynolds, Kevin'!I14:I48&gt;0)*('Reynolds, Kevin'!I14:I48&lt;8))</f>
        <v/>
      </c>
      <c r="L27" s="383">
        <f>IF('Reynolds, Kevin'!Q50&lt;5,"Yes","")</f>
        <v/>
      </c>
      <c r="M27" s="383">
        <f>IF(AND('Reynolds, Kevin'!I49&gt;0,'Reynolds, Kevin'!I49&lt;80),"Yes","")</f>
        <v/>
      </c>
      <c r="N27" s="383">
        <f>IF(OR(F27&gt;0,G27="Yes",H27="Yes",I27="Yes"),"⚠️ OVERWORK",IF(OR(J27="Yes",K27&gt;0,L27="Yes",M27="Yes"),"🔻 UNDERWORK","✓ OK"))</f>
        <v/>
      </c>
    </row>
    <row r="28">
      <c r="A28" s="383" t="n">
        <v>24</v>
      </c>
      <c r="B28" s="384" t="inlineStr">
        <is>
          <t>Roberts, Odetta Kenesia Shannele</t>
        </is>
      </c>
      <c r="C28" s="383" t="inlineStr">
        <is>
          <t>5466</t>
        </is>
      </c>
      <c r="D28" s="383">
        <f>'Roberts, Odetta'!I49</f>
        <v/>
      </c>
      <c r="E28" s="383">
        <f>'Roberts, Odetta'!Q50</f>
        <v/>
      </c>
      <c r="F28" s="383">
        <f>SUMPRODUCT((('Roberts, Odetta'!I14+'Roberts, Odetta'!I15)&gt;12)*1)+SUMPRODUCT((('Roberts, Odetta'!I16+'Roberts, Odetta'!I17)&gt;12)*1)+SUMPRODUCT((('Roberts, Odetta'!I18+'Roberts, Odetta'!I19)&gt;12)*1)+SUMPRODUCT((('Roberts, Odetta'!I20+'Roberts, Odetta'!I21)&gt;12)*1)+SUMPRODUCT((('Roberts, Odetta'!I22+'Roberts, Odetta'!I23)&gt;12)*1)+SUMPRODUCT((('Roberts, Odetta'!I24+'Roberts, Odetta'!I25)&gt;12)*1)+SUMPRODUCT((('Roberts, Odetta'!I26+'Roberts, Odetta'!I27)&gt;12)*1)+SUMPRODUCT((('Roberts, Odetta'!I30+'Roberts, Odetta'!I31)&gt;12)*1)+SUMPRODUCT((('Roberts, Odetta'!I32+'Roberts, Odetta'!I33)&gt;12)*1)+SUMPRODUCT((('Roberts, Odetta'!I34+'Roberts, Odetta'!I35)&gt;12)*1)+SUMPRODUCT((('Roberts, Odetta'!I36+'Roberts, Odetta'!I37)&gt;12)*1)+SUMPRODUCT((('Roberts, Odetta'!I38+'Roberts, Odetta'!I39)&gt;12)*1)+SUMPRODUCT((('Roberts, Odetta'!I40+'Roberts, Odetta'!I41)&gt;12)*1)+SUMPRODUCT((('Roberts, Odetta'!I42+'Roberts, Odetta'!I43)&gt;12)*1)+SUMPRODUCT((('Roberts, Odetta'!I45+'Roberts, Odetta'!I46)&gt;12)*1)+SUMPRODUCT((('Roberts, Odetta'!I47+'Roberts, Odetta'!I48)&gt;12)*1)</f>
        <v/>
      </c>
      <c r="G28" s="383">
        <f>IF(MAX(SUM('Roberts, Odetta'!I14:I27),SUM('Roberts, Odetta'!I30:I43))&gt;60,"Yes","")</f>
        <v/>
      </c>
      <c r="H28" s="383">
        <f>IF(OR(AND(('Roberts, Odetta'!I14+'Roberts, Odetta'!I15)&gt;0,('Roberts, Odetta'!I16+'Roberts, Odetta'!I17)&gt;0,('Roberts, Odetta'!I18+'Roberts, Odetta'!I19)&gt;0,('Roberts, Odetta'!I20+'Roberts, Odetta'!I21)&gt;0,('Roberts, Odetta'!I22+'Roberts, Odetta'!I23)&gt;0,('Roberts, Odetta'!I24+'Roberts, Odetta'!I25)&gt;0,('Roberts, Odetta'!I26+'Roberts, Odetta'!I27)&gt;0),AND(('Roberts, Odetta'!I30+'Roberts, Odetta'!I31)&gt;0,('Roberts, Odetta'!I32+'Roberts, Odetta'!I33)&gt;0,('Roberts, Odetta'!I34+'Roberts, Odetta'!I35)&gt;0,('Roberts, Odetta'!I36+'Roberts, Odetta'!I37)&gt;0,('Roberts, Odetta'!I38+'Roberts, Odetta'!I39)&gt;0,('Roberts, Odetta'!I40+'Roberts, Odetta'!I41)&gt;0,('Roberts, Odetta'!I42+'Roberts, Odetta'!I43)&gt;0)),"Yes","")</f>
        <v/>
      </c>
      <c r="I28" s="383">
        <f>IF('Roberts, Odetta'!N49&gt;40,"Yes","")</f>
        <v/>
      </c>
      <c r="J28" s="383">
        <f>IF(OR(AND(SUM('Roberts, Odetta'!I14:I27)&gt;0,SUM('Roberts, Odetta'!I14:I27)&lt;40),AND(SUM('Roberts, Odetta'!I30:I43)&gt;0,SUM('Roberts, Odetta'!I30:I43)&lt;40)),"Yes","")</f>
        <v/>
      </c>
      <c r="K28" s="383">
        <f>SUMPRODUCT(('Roberts, Odetta'!I14:I48&gt;0)*('Roberts, Odetta'!I14:I48&lt;8))</f>
        <v/>
      </c>
      <c r="L28" s="383">
        <f>IF('Roberts, Odetta'!Q50&lt;5,"Yes","")</f>
        <v/>
      </c>
      <c r="M28" s="383">
        <f>IF(AND('Roberts, Odetta'!I49&gt;0,'Roberts, Odetta'!I49&lt;80),"Yes","")</f>
        <v/>
      </c>
      <c r="N28" s="383">
        <f>IF(OR(F28&gt;0,G28="Yes",H28="Yes",I28="Yes"),"⚠️ OVERWORK",IF(OR(J28="Yes",K28&gt;0,L28="Yes",M28="Yes"),"🔻 UNDERWORK","✓ OK"))</f>
        <v/>
      </c>
    </row>
    <row r="29">
      <c r="A29" s="383" t="n">
        <v>25</v>
      </c>
      <c r="B29" s="384" t="inlineStr">
        <is>
          <t>Robinson, Candacy Olivia</t>
        </is>
      </c>
      <c r="C29" s="383" t="inlineStr">
        <is>
          <t>4784</t>
        </is>
      </c>
      <c r="D29" s="383">
        <f>'Robinson, Candacy'!I49</f>
        <v/>
      </c>
      <c r="E29" s="383">
        <f>'Robinson, Candacy'!Q50</f>
        <v/>
      </c>
      <c r="F29" s="383">
        <f>SUMPRODUCT((('Robinson, Candacy'!I14+'Robinson, Candacy'!I15)&gt;12)*1)+SUMPRODUCT((('Robinson, Candacy'!I16+'Robinson, Candacy'!I17)&gt;12)*1)+SUMPRODUCT((('Robinson, Candacy'!I18+'Robinson, Candacy'!I19)&gt;12)*1)+SUMPRODUCT((('Robinson, Candacy'!I20+'Robinson, Candacy'!I21)&gt;12)*1)+SUMPRODUCT((('Robinson, Candacy'!I22+'Robinson, Candacy'!I23)&gt;12)*1)+SUMPRODUCT((('Robinson, Candacy'!I24+'Robinson, Candacy'!I25)&gt;12)*1)+SUMPRODUCT((('Robinson, Candacy'!I26+'Robinson, Candacy'!I27)&gt;12)*1)+SUMPRODUCT((('Robinson, Candacy'!I30+'Robinson, Candacy'!I31)&gt;12)*1)+SUMPRODUCT((('Robinson, Candacy'!I32+'Robinson, Candacy'!I33)&gt;12)*1)+SUMPRODUCT((('Robinson, Candacy'!I34+'Robinson, Candacy'!I35)&gt;12)*1)+SUMPRODUCT((('Robinson, Candacy'!I36+'Robinson, Candacy'!I37)&gt;12)*1)+SUMPRODUCT((('Robinson, Candacy'!I38+'Robinson, Candacy'!I39)&gt;12)*1)+SUMPRODUCT((('Robinson, Candacy'!I40+'Robinson, Candacy'!I41)&gt;12)*1)+SUMPRODUCT((('Robinson, Candacy'!I42+'Robinson, Candacy'!I43)&gt;12)*1)+SUMPRODUCT((('Robinson, Candacy'!I45+'Robinson, Candacy'!I46)&gt;12)*1)+SUMPRODUCT((('Robinson, Candacy'!I47+'Robinson, Candacy'!I48)&gt;12)*1)</f>
        <v/>
      </c>
      <c r="G29" s="383">
        <f>IF(MAX(SUM('Robinson, Candacy'!I14:I27),SUM('Robinson, Candacy'!I30:I43))&gt;60,"Yes","")</f>
        <v/>
      </c>
      <c r="H29" s="383">
        <f>IF(OR(AND(('Robinson, Candacy'!I14+'Robinson, Candacy'!I15)&gt;0,('Robinson, Candacy'!I16+'Robinson, Candacy'!I17)&gt;0,('Robinson, Candacy'!I18+'Robinson, Candacy'!I19)&gt;0,('Robinson, Candacy'!I20+'Robinson, Candacy'!I21)&gt;0,('Robinson, Candacy'!I22+'Robinson, Candacy'!I23)&gt;0,('Robinson, Candacy'!I24+'Robinson, Candacy'!I25)&gt;0,('Robinson, Candacy'!I26+'Robinson, Candacy'!I27)&gt;0),AND(('Robinson, Candacy'!I30+'Robinson, Candacy'!I31)&gt;0,('Robinson, Candacy'!I32+'Robinson, Candacy'!I33)&gt;0,('Robinson, Candacy'!I34+'Robinson, Candacy'!I35)&gt;0,('Robinson, Candacy'!I36+'Robinson, Candacy'!I37)&gt;0,('Robinson, Candacy'!I38+'Robinson, Candacy'!I39)&gt;0,('Robinson, Candacy'!I40+'Robinson, Candacy'!I41)&gt;0,('Robinson, Candacy'!I42+'Robinson, Candacy'!I43)&gt;0)),"Yes","")</f>
        <v/>
      </c>
      <c r="I29" s="383">
        <f>IF('Robinson, Candacy'!N49&gt;40,"Yes","")</f>
        <v/>
      </c>
      <c r="J29" s="383">
        <f>IF(OR(AND(SUM('Robinson, Candacy'!I14:I27)&gt;0,SUM('Robinson, Candacy'!I14:I27)&lt;40),AND(SUM('Robinson, Candacy'!I30:I43)&gt;0,SUM('Robinson, Candacy'!I30:I43)&lt;40)),"Yes","")</f>
        <v/>
      </c>
      <c r="K29" s="383">
        <f>SUMPRODUCT(('Robinson, Candacy'!I14:I48&gt;0)*('Robinson, Candacy'!I14:I48&lt;8))</f>
        <v/>
      </c>
      <c r="L29" s="383">
        <f>IF('Robinson, Candacy'!Q50&lt;5,"Yes","")</f>
        <v/>
      </c>
      <c r="M29" s="383">
        <f>IF(AND('Robinson, Candacy'!I49&gt;0,'Robinson, Candacy'!I49&lt;80),"Yes","")</f>
        <v/>
      </c>
      <c r="N29" s="383">
        <f>IF(OR(F29&gt;0,G29="Yes",H29="Yes",I29="Yes"),"⚠️ OVERWORK",IF(OR(J29="Yes",K29&gt;0,L29="Yes",M29="Yes"),"🔻 UNDERWORK","✓ OK"))</f>
        <v/>
      </c>
    </row>
    <row r="30">
      <c r="A30" s="383" t="n">
        <v>26</v>
      </c>
      <c r="B30" s="384" t="inlineStr">
        <is>
          <t>Smith, Tiffany Natalya</t>
        </is>
      </c>
      <c r="C30" s="383" t="inlineStr">
        <is>
          <t>5408</t>
        </is>
      </c>
      <c r="D30" s="383">
        <f>'Smith, Tiffany'!I49</f>
        <v/>
      </c>
      <c r="E30" s="383">
        <f>'Smith, Tiffany'!Q50</f>
        <v/>
      </c>
      <c r="F30" s="383">
        <f>SUMPRODUCT((('Smith, Tiffany'!I14+'Smith, Tiffany'!I15)&gt;12)*1)+SUMPRODUCT((('Smith, Tiffany'!I16+'Smith, Tiffany'!I17)&gt;12)*1)+SUMPRODUCT((('Smith, Tiffany'!I18+'Smith, Tiffany'!I19)&gt;12)*1)+SUMPRODUCT((('Smith, Tiffany'!I20+'Smith, Tiffany'!I21)&gt;12)*1)+SUMPRODUCT((('Smith, Tiffany'!I22+'Smith, Tiffany'!I23)&gt;12)*1)+SUMPRODUCT((('Smith, Tiffany'!I24+'Smith, Tiffany'!I25)&gt;12)*1)+SUMPRODUCT((('Smith, Tiffany'!I26+'Smith, Tiffany'!I27)&gt;12)*1)+SUMPRODUCT((('Smith, Tiffany'!I30+'Smith, Tiffany'!I31)&gt;12)*1)+SUMPRODUCT((('Smith, Tiffany'!I32+'Smith, Tiffany'!I33)&gt;12)*1)+SUMPRODUCT((('Smith, Tiffany'!I34+'Smith, Tiffany'!I35)&gt;12)*1)+SUMPRODUCT((('Smith, Tiffany'!I36+'Smith, Tiffany'!I37)&gt;12)*1)+SUMPRODUCT((('Smith, Tiffany'!I38+'Smith, Tiffany'!I39)&gt;12)*1)+SUMPRODUCT((('Smith, Tiffany'!I40+'Smith, Tiffany'!I41)&gt;12)*1)+SUMPRODUCT((('Smith, Tiffany'!I42+'Smith, Tiffany'!I43)&gt;12)*1)+SUMPRODUCT((('Smith, Tiffany'!I45+'Smith, Tiffany'!I46)&gt;12)*1)+SUMPRODUCT((('Smith, Tiffany'!I47+'Smith, Tiffany'!I48)&gt;12)*1)</f>
        <v/>
      </c>
      <c r="G30" s="383">
        <f>IF(MAX(SUM('Smith, Tiffany'!I14:I27),SUM('Smith, Tiffany'!I30:I43))&gt;60,"Yes","")</f>
        <v/>
      </c>
      <c r="H30" s="383">
        <f>IF(OR(AND(('Smith, Tiffany'!I14+'Smith, Tiffany'!I15)&gt;0,('Smith, Tiffany'!I16+'Smith, Tiffany'!I17)&gt;0,('Smith, Tiffany'!I18+'Smith, Tiffany'!I19)&gt;0,('Smith, Tiffany'!I20+'Smith, Tiffany'!I21)&gt;0,('Smith, Tiffany'!I22+'Smith, Tiffany'!I23)&gt;0,('Smith, Tiffany'!I24+'Smith, Tiffany'!I25)&gt;0,('Smith, Tiffany'!I26+'Smith, Tiffany'!I27)&gt;0),AND(('Smith, Tiffany'!I30+'Smith, Tiffany'!I31)&gt;0,('Smith, Tiffany'!I32+'Smith, Tiffany'!I33)&gt;0,('Smith, Tiffany'!I34+'Smith, Tiffany'!I35)&gt;0,('Smith, Tiffany'!I36+'Smith, Tiffany'!I37)&gt;0,('Smith, Tiffany'!I38+'Smith, Tiffany'!I39)&gt;0,('Smith, Tiffany'!I40+'Smith, Tiffany'!I41)&gt;0,('Smith, Tiffany'!I42+'Smith, Tiffany'!I43)&gt;0)),"Yes","")</f>
        <v/>
      </c>
      <c r="I30" s="383">
        <f>IF('Smith, Tiffany'!N49&gt;40,"Yes","")</f>
        <v/>
      </c>
      <c r="J30" s="383">
        <f>IF(OR(AND(SUM('Smith, Tiffany'!I14:I27)&gt;0,SUM('Smith, Tiffany'!I14:I27)&lt;40),AND(SUM('Smith, Tiffany'!I30:I43)&gt;0,SUM('Smith, Tiffany'!I30:I43)&lt;40)),"Yes","")</f>
        <v/>
      </c>
      <c r="K30" s="383">
        <f>SUMPRODUCT(('Smith, Tiffany'!I14:I48&gt;0)*('Smith, Tiffany'!I14:I48&lt;8))</f>
        <v/>
      </c>
      <c r="L30" s="383">
        <f>IF('Smith, Tiffany'!Q50&lt;5,"Yes","")</f>
        <v/>
      </c>
      <c r="M30" s="383">
        <f>IF(AND('Smith, Tiffany'!I49&gt;0,'Smith, Tiffany'!I49&lt;80),"Yes","")</f>
        <v/>
      </c>
      <c r="N30" s="383">
        <f>IF(OR(F30&gt;0,G30="Yes",H30="Yes",I30="Yes"),"⚠️ OVERWORK",IF(OR(J30="Yes",K30&gt;0,L30="Yes",M30="Yes"),"🔻 UNDERWORK","✓ OK"))</f>
        <v/>
      </c>
    </row>
    <row r="31">
      <c r="A31" s="383" t="n">
        <v>27</v>
      </c>
      <c r="B31" s="384" t="inlineStr">
        <is>
          <t>Spencer, Renita Denita</t>
        </is>
      </c>
      <c r="C31" s="383" t="inlineStr">
        <is>
          <t>5510</t>
        </is>
      </c>
      <c r="D31" s="383">
        <f>'Spencer, Renita'!I49</f>
        <v/>
      </c>
      <c r="E31" s="383">
        <f>'Spencer, Renita'!Q50</f>
        <v/>
      </c>
      <c r="F31" s="383">
        <f>SUMPRODUCT((('Spencer, Renita'!I14+'Spencer, Renita'!I15)&gt;12)*1)+SUMPRODUCT((('Spencer, Renita'!I16+'Spencer, Renita'!I17)&gt;12)*1)+SUMPRODUCT((('Spencer, Renita'!I18+'Spencer, Renita'!I19)&gt;12)*1)+SUMPRODUCT((('Spencer, Renita'!I20+'Spencer, Renita'!I21)&gt;12)*1)+SUMPRODUCT((('Spencer, Renita'!I22+'Spencer, Renita'!I23)&gt;12)*1)+SUMPRODUCT((('Spencer, Renita'!I24+'Spencer, Renita'!I25)&gt;12)*1)+SUMPRODUCT((('Spencer, Renita'!I26+'Spencer, Renita'!I27)&gt;12)*1)+SUMPRODUCT((('Spencer, Renita'!I30+'Spencer, Renita'!I31)&gt;12)*1)+SUMPRODUCT((('Spencer, Renita'!I32+'Spencer, Renita'!I33)&gt;12)*1)+SUMPRODUCT((('Spencer, Renita'!I34+'Spencer, Renita'!I35)&gt;12)*1)+SUMPRODUCT((('Spencer, Renita'!I36+'Spencer, Renita'!I37)&gt;12)*1)+SUMPRODUCT((('Spencer, Renita'!I38+'Spencer, Renita'!I39)&gt;12)*1)+SUMPRODUCT((('Spencer, Renita'!I40+'Spencer, Renita'!I41)&gt;12)*1)+SUMPRODUCT((('Spencer, Renita'!I42+'Spencer, Renita'!I43)&gt;12)*1)+SUMPRODUCT((('Spencer, Renita'!I45+'Spencer, Renita'!I46)&gt;12)*1)+SUMPRODUCT((('Spencer, Renita'!I47+'Spencer, Renita'!I48)&gt;12)*1)</f>
        <v/>
      </c>
      <c r="G31" s="383">
        <f>IF(MAX(SUM('Spencer, Renita'!I14:I27),SUM('Spencer, Renita'!I30:I43))&gt;60,"Yes","")</f>
        <v/>
      </c>
      <c r="H31" s="383">
        <f>IF(OR(AND(('Spencer, Renita'!I14+'Spencer, Renita'!I15)&gt;0,('Spencer, Renita'!I16+'Spencer, Renita'!I17)&gt;0,('Spencer, Renita'!I18+'Spencer, Renita'!I19)&gt;0,('Spencer, Renita'!I20+'Spencer, Renita'!I21)&gt;0,('Spencer, Renita'!I22+'Spencer, Renita'!I23)&gt;0,('Spencer, Renita'!I24+'Spencer, Renita'!I25)&gt;0,('Spencer, Renita'!I26+'Spencer, Renita'!I27)&gt;0),AND(('Spencer, Renita'!I30+'Spencer, Renita'!I31)&gt;0,('Spencer, Renita'!I32+'Spencer, Renita'!I33)&gt;0,('Spencer, Renita'!I34+'Spencer, Renita'!I35)&gt;0,('Spencer, Renita'!I36+'Spencer, Renita'!I37)&gt;0,('Spencer, Renita'!I38+'Spencer, Renita'!I39)&gt;0,('Spencer, Renita'!I40+'Spencer, Renita'!I41)&gt;0,('Spencer, Renita'!I42+'Spencer, Renita'!I43)&gt;0)),"Yes","")</f>
        <v/>
      </c>
      <c r="I31" s="383">
        <f>IF('Spencer, Renita'!N49&gt;40,"Yes","")</f>
        <v/>
      </c>
      <c r="J31" s="383">
        <f>IF(OR(AND(SUM('Spencer, Renita'!I14:I27)&gt;0,SUM('Spencer, Renita'!I14:I27)&lt;40),AND(SUM('Spencer, Renita'!I30:I43)&gt;0,SUM('Spencer, Renita'!I30:I43)&lt;40)),"Yes","")</f>
        <v/>
      </c>
      <c r="K31" s="383">
        <f>SUMPRODUCT(('Spencer, Renita'!I14:I48&gt;0)*('Spencer, Renita'!I14:I48&lt;8))</f>
        <v/>
      </c>
      <c r="L31" s="383">
        <f>IF('Spencer, Renita'!Q50&lt;5,"Yes","")</f>
        <v/>
      </c>
      <c r="M31" s="383">
        <f>IF(AND('Spencer, Renita'!I49&gt;0,'Spencer, Renita'!I49&lt;80),"Yes","")</f>
        <v/>
      </c>
      <c r="N31" s="383">
        <f>IF(OR(F31&gt;0,G31="Yes",H31="Yes",I31="Yes"),"⚠️ OVERWORK",IF(OR(J31="Yes",K31&gt;0,L31="Yes",M31="Yes"),"🔻 UNDERWORK","✓ OK"))</f>
        <v/>
      </c>
    </row>
    <row r="32">
      <c r="A32" s="383" t="n">
        <v>28</v>
      </c>
      <c r="B32" s="384" t="inlineStr">
        <is>
          <t>Venture, Ollivina</t>
        </is>
      </c>
      <c r="C32" s="383" t="n">
        <v>1319</v>
      </c>
      <c r="D32" s="383">
        <f>'Venture, Ollivina'!I49</f>
        <v/>
      </c>
      <c r="E32" s="383">
        <f>'Venture, Ollivina'!Q50</f>
        <v/>
      </c>
      <c r="F32" s="383">
        <f>SUMPRODUCT((('Venture, Ollivina'!I14+'Venture, Ollivina'!I15)&gt;12)*1)+SUMPRODUCT((('Venture, Ollivina'!I16+'Venture, Ollivina'!I17)&gt;12)*1)+SUMPRODUCT((('Venture, Ollivina'!I18+'Venture, Ollivina'!I19)&gt;12)*1)+SUMPRODUCT((('Venture, Ollivina'!I20+'Venture, Ollivina'!I21)&gt;12)*1)+SUMPRODUCT((('Venture, Ollivina'!I22+'Venture, Ollivina'!I23)&gt;12)*1)+SUMPRODUCT((('Venture, Ollivina'!I24+'Venture, Ollivina'!I25)&gt;12)*1)+SUMPRODUCT((('Venture, Ollivina'!I26+'Venture, Ollivina'!I27)&gt;12)*1)+SUMPRODUCT((('Venture, Ollivina'!I30+'Venture, Ollivina'!I31)&gt;12)*1)+SUMPRODUCT((('Venture, Ollivina'!I32+'Venture, Ollivina'!I33)&gt;12)*1)+SUMPRODUCT((('Venture, Ollivina'!I34+'Venture, Ollivina'!I35)&gt;12)*1)+SUMPRODUCT((('Venture, Ollivina'!I36+'Venture, Ollivina'!I37)&gt;12)*1)+SUMPRODUCT((('Venture, Ollivina'!I38+'Venture, Ollivina'!I39)&gt;12)*1)+SUMPRODUCT((('Venture, Ollivina'!I40+'Venture, Ollivina'!I41)&gt;12)*1)+SUMPRODUCT((('Venture, Ollivina'!I42+'Venture, Ollivina'!I43)&gt;12)*1)+SUMPRODUCT((('Venture, Ollivina'!I45+'Venture, Ollivina'!I46)&gt;12)*1)+SUMPRODUCT((('Venture, Ollivina'!I47+'Venture, Ollivina'!I48)&gt;12)*1)</f>
        <v/>
      </c>
      <c r="G32" s="383">
        <f>IF(MAX(SUM('Venture, Ollivina'!I14:I27),SUM('Venture, Ollivina'!I30:I43))&gt;60,"Yes","")</f>
        <v/>
      </c>
      <c r="H32" s="383">
        <f>IF(OR(AND(('Venture, Ollivina'!I14+'Venture, Ollivina'!I15)&gt;0,('Venture, Ollivina'!I16+'Venture, Ollivina'!I17)&gt;0,('Venture, Ollivina'!I18+'Venture, Ollivina'!I19)&gt;0,('Venture, Ollivina'!I20+'Venture, Ollivina'!I21)&gt;0,('Venture, Ollivina'!I22+'Venture, Ollivina'!I23)&gt;0,('Venture, Ollivina'!I24+'Venture, Ollivina'!I25)&gt;0,('Venture, Ollivina'!I26+'Venture, Ollivina'!I27)&gt;0),AND(('Venture, Ollivina'!I30+'Venture, Ollivina'!I31)&gt;0,('Venture, Ollivina'!I32+'Venture, Ollivina'!I33)&gt;0,('Venture, Ollivina'!I34+'Venture, Ollivina'!I35)&gt;0,('Venture, Ollivina'!I36+'Venture, Ollivina'!I37)&gt;0,('Venture, Ollivina'!I38+'Venture, Ollivina'!I39)&gt;0,('Venture, Ollivina'!I40+'Venture, Ollivina'!I41)&gt;0,('Venture, Ollivina'!I42+'Venture, Ollivina'!I43)&gt;0)),"Yes","")</f>
        <v/>
      </c>
      <c r="I32" s="383">
        <f>IF('Venture, Ollivina'!N49&gt;40,"Yes","")</f>
        <v/>
      </c>
      <c r="J32" s="383">
        <f>IF(OR(AND(SUM('Venture, Ollivina'!I14:I27)&gt;0,SUM('Venture, Ollivina'!I14:I27)&lt;40),AND(SUM('Venture, Ollivina'!I30:I43)&gt;0,SUM('Venture, Ollivina'!I30:I43)&lt;40)),"Yes","")</f>
        <v/>
      </c>
      <c r="K32" s="383">
        <f>SUMPRODUCT(('Venture, Ollivina'!I14:I48&gt;0)*('Venture, Ollivina'!I14:I48&lt;8))</f>
        <v/>
      </c>
      <c r="L32" s="383">
        <f>IF('Venture, Ollivina'!Q50&lt;5,"Yes","")</f>
        <v/>
      </c>
      <c r="M32" s="383">
        <f>IF(AND('Venture, Ollivina'!I49&gt;0,'Venture, Ollivina'!I49&lt;80),"Yes","")</f>
        <v/>
      </c>
      <c r="N32" s="383">
        <f>IF(OR(F32&gt;0,G32="Yes",H32="Yes",I32="Yes"),"⚠️ OVERWORK",IF(OR(J32="Yes",K32&gt;0,L32="Yes",M32="Yes"),"🔻 UNDERWORK","✓ OK"))</f>
        <v/>
      </c>
    </row>
    <row r="33">
      <c r="A33" s="383" t="n">
        <v>29</v>
      </c>
      <c r="B33" s="384" t="inlineStr">
        <is>
          <t>Vincent, Fucien</t>
        </is>
      </c>
      <c r="C33" s="383" t="inlineStr">
        <is>
          <t>5478</t>
        </is>
      </c>
      <c r="D33" s="383">
        <f>'Vincent, Fucien'!I49</f>
        <v/>
      </c>
      <c r="E33" s="383">
        <f>'Vincent, Fucien'!Q50</f>
        <v/>
      </c>
      <c r="F33" s="383">
        <f>SUMPRODUCT((('Vincent, Fucien'!I14+'Vincent, Fucien'!I15)&gt;12)*1)+SUMPRODUCT((('Vincent, Fucien'!I16+'Vincent, Fucien'!I17)&gt;12)*1)+SUMPRODUCT((('Vincent, Fucien'!I18+'Vincent, Fucien'!I19)&gt;12)*1)+SUMPRODUCT((('Vincent, Fucien'!I20+'Vincent, Fucien'!I21)&gt;12)*1)+SUMPRODUCT((('Vincent, Fucien'!I22+'Vincent, Fucien'!I23)&gt;12)*1)+SUMPRODUCT((('Vincent, Fucien'!I24+'Vincent, Fucien'!I25)&gt;12)*1)+SUMPRODUCT((('Vincent, Fucien'!I26+'Vincent, Fucien'!I27)&gt;12)*1)+SUMPRODUCT((('Vincent, Fucien'!I30+'Vincent, Fucien'!I31)&gt;12)*1)+SUMPRODUCT((('Vincent, Fucien'!I32+'Vincent, Fucien'!I33)&gt;12)*1)+SUMPRODUCT((('Vincent, Fucien'!I34+'Vincent, Fucien'!I35)&gt;12)*1)+SUMPRODUCT((('Vincent, Fucien'!I36+'Vincent, Fucien'!I37)&gt;12)*1)+SUMPRODUCT((('Vincent, Fucien'!I38+'Vincent, Fucien'!I39)&gt;12)*1)+SUMPRODUCT((('Vincent, Fucien'!I40+'Vincent, Fucien'!I41)&gt;12)*1)+SUMPRODUCT((('Vincent, Fucien'!I42+'Vincent, Fucien'!I43)&gt;12)*1)+SUMPRODUCT((('Vincent, Fucien'!I45+'Vincent, Fucien'!I46)&gt;12)*1)+SUMPRODUCT((('Vincent, Fucien'!I47+'Vincent, Fucien'!I48)&gt;12)*1)</f>
        <v/>
      </c>
      <c r="G33" s="383">
        <f>IF(MAX(SUM('Vincent, Fucien'!I14:I27),SUM('Vincent, Fucien'!I30:I43))&gt;60,"Yes","")</f>
        <v/>
      </c>
      <c r="H33" s="383">
        <f>IF(OR(AND(('Vincent, Fucien'!I14+'Vincent, Fucien'!I15)&gt;0,('Vincent, Fucien'!I16+'Vincent, Fucien'!I17)&gt;0,('Vincent, Fucien'!I18+'Vincent, Fucien'!I19)&gt;0,('Vincent, Fucien'!I20+'Vincent, Fucien'!I21)&gt;0,('Vincent, Fucien'!I22+'Vincent, Fucien'!I23)&gt;0,('Vincent, Fucien'!I24+'Vincent, Fucien'!I25)&gt;0,('Vincent, Fucien'!I26+'Vincent, Fucien'!I27)&gt;0),AND(('Vincent, Fucien'!I30+'Vincent, Fucien'!I31)&gt;0,('Vincent, Fucien'!I32+'Vincent, Fucien'!I33)&gt;0,('Vincent, Fucien'!I34+'Vincent, Fucien'!I35)&gt;0,('Vincent, Fucien'!I36+'Vincent, Fucien'!I37)&gt;0,('Vincent, Fucien'!I38+'Vincent, Fucien'!I39)&gt;0,('Vincent, Fucien'!I40+'Vincent, Fucien'!I41)&gt;0,('Vincent, Fucien'!I42+'Vincent, Fucien'!I43)&gt;0)),"Yes","")</f>
        <v/>
      </c>
      <c r="I33" s="383">
        <f>IF('Vincent, Fucien'!N49&gt;40,"Yes","")</f>
        <v/>
      </c>
      <c r="J33" s="383">
        <f>IF(OR(AND(SUM('Vincent, Fucien'!I14:I27)&gt;0,SUM('Vincent, Fucien'!I14:I27)&lt;40),AND(SUM('Vincent, Fucien'!I30:I43)&gt;0,SUM('Vincent, Fucien'!I30:I43)&lt;40)),"Yes","")</f>
        <v/>
      </c>
      <c r="K33" s="383">
        <f>SUMPRODUCT(('Vincent, Fucien'!I14:I48&gt;0)*('Vincent, Fucien'!I14:I48&lt;8))</f>
        <v/>
      </c>
      <c r="L33" s="383">
        <f>IF('Vincent, Fucien'!Q50&lt;5,"Yes","")</f>
        <v/>
      </c>
      <c r="M33" s="383">
        <f>IF(AND('Vincent, Fucien'!I49&gt;0,'Vincent, Fucien'!I49&lt;80),"Yes","")</f>
        <v/>
      </c>
      <c r="N33" s="383">
        <f>IF(OR(F33&gt;0,G33="Yes",H33="Yes",I33="Yes"),"⚠️ OVERWORK",IF(OR(J33="Yes",K33&gt;0,L33="Yes",M33="Yes"),"🔻 UNDERWORK","✓ OK"))</f>
        <v/>
      </c>
    </row>
    <row r="35">
      <c r="A35" s="377" t="inlineStr">
        <is>
          <t>SUMMARY</t>
        </is>
      </c>
    </row>
    <row r="36">
      <c r="A36" s="385" t="inlineStr">
        <is>
          <t>⚠️ Overwork Flags:</t>
        </is>
      </c>
      <c r="C36" s="385">
        <f>COUNTIF(N5:N34,"⚠️ OVERWORK")</f>
        <v/>
      </c>
    </row>
    <row r="37">
      <c r="A37" s="390" t="inlineStr">
        <is>
          <t>🔻 Underwork Flags:</t>
        </is>
      </c>
      <c r="C37" s="390">
        <f>COUNTIF(N5:N34,"🔻 UNDERWORK")</f>
        <v/>
      </c>
    </row>
    <row r="38">
      <c r="A38" s="386" t="inlineStr">
        <is>
          <t>✓ OK:</t>
        </is>
      </c>
      <c r="C38" s="386">
        <f>COUNTIF(N5:N34,"✓ OK")</f>
        <v/>
      </c>
    </row>
    <row r="40">
      <c r="A40" s="377" t="inlineStr">
        <is>
          <t>THRESHOLDS:</t>
        </is>
      </c>
    </row>
    <row r="41">
      <c r="A41" t="inlineStr">
        <is>
          <t>Overwork: Daily &gt;12hrs | Weekly &gt;60hrs | 7+ consecutive days | OT &gt;40hrs/period</t>
        </is>
      </c>
    </row>
    <row r="42">
      <c r="A42" t="inlineStr">
        <is>
          <t>Underwork: Weekly &lt;40hrs | Daily &lt;8hrs (when worked) | &lt;5 days/week | Period &lt;80hrs total</t>
        </is>
      </c>
    </row>
  </sheetData>
  <mergeCells count="5">
    <mergeCell ref="A2:N2"/>
    <mergeCell ref="A41:N41"/>
    <mergeCell ref="A42:N42"/>
    <mergeCell ref="A35:C3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tabSelected="1" workbookViewId="0">
      <selection activeCell="A1" sqref="A1"/>
    </sheetView>
  </sheetViews>
  <sheetFormatPr baseColWidth="8" defaultRowHeight="13.5"/>
  <cols>
    <col width="16" customWidth="1" min="1" max="1"/>
    <col width="18.3984375" customWidth="1" min="2" max="2"/>
    <col width="17.796875" customWidth="1" min="3" max="3"/>
    <col width="21.5" customWidth="1" min="4" max="4"/>
    <col width="19.69921875" customWidth="1" min="5" max="5"/>
  </cols>
  <sheetData>
    <row r="1" ht="14.5" customHeight="1">
      <c r="A1" s="311" t="inlineStr">
        <is>
          <t>PAYROLL_ID</t>
        </is>
      </c>
      <c r="B1" s="311" t="inlineStr">
        <is>
          <t>EMPLOYEENAME</t>
        </is>
      </c>
      <c r="C1" s="311" t="inlineStr">
        <is>
          <t>INCOME_CODE</t>
        </is>
      </c>
      <c r="D1" s="311" t="inlineStr">
        <is>
          <t>HOURS</t>
        </is>
      </c>
      <c r="E1" s="311" t="inlineStr">
        <is>
          <t>DOLLARS</t>
        </is>
      </c>
    </row>
    <row r="2">
      <c r="A2">
        <f>'Payroll Summary'!B4</f>
        <v/>
      </c>
      <c r="B2">
        <f>'Payroll Summary'!A4</f>
        <v/>
      </c>
      <c r="C2" t="inlineStr">
        <is>
          <t>ANNLEAVE</t>
        </is>
      </c>
      <c r="D2">
        <f>'Payroll Summary'!J4</f>
        <v/>
      </c>
    </row>
    <row r="3">
      <c r="A3">
        <f>A2</f>
        <v/>
      </c>
      <c r="B3">
        <f>B2</f>
        <v/>
      </c>
      <c r="C3" t="inlineStr">
        <is>
          <t>NR</t>
        </is>
      </c>
      <c r="D3">
        <f>'Payroll Summary'!D4</f>
        <v/>
      </c>
    </row>
    <row r="4">
      <c r="A4">
        <f>A3</f>
        <v/>
      </c>
      <c r="B4">
        <f>B3</f>
        <v/>
      </c>
      <c r="C4" t="inlineStr">
        <is>
          <t>OT1</t>
        </is>
      </c>
      <c r="D4">
        <f>'Payroll Summary'!F4</f>
        <v/>
      </c>
    </row>
    <row r="5">
      <c r="A5">
        <f>A4</f>
        <v/>
      </c>
      <c r="B5">
        <f>B4</f>
        <v/>
      </c>
      <c r="C5" t="inlineStr">
        <is>
          <t>80125</t>
        </is>
      </c>
      <c r="D5">
        <f>'Payroll Summary'!G4</f>
        <v/>
      </c>
    </row>
    <row r="6">
      <c r="A6">
        <f>A5</f>
        <v/>
      </c>
      <c r="B6">
        <f>B5</f>
        <v/>
      </c>
      <c r="C6" t="inlineStr">
        <is>
          <t>INCENTIVE</t>
        </is>
      </c>
      <c r="D6">
        <f>'Payroll Summary'!L4</f>
        <v/>
      </c>
    </row>
    <row r="7">
      <c r="A7">
        <f>A6</f>
        <v/>
      </c>
      <c r="B7">
        <f>B6</f>
        <v/>
      </c>
      <c r="C7" t="inlineStr">
        <is>
          <t>MA</t>
        </is>
      </c>
      <c r="D7">
        <f>'Payroll Summary'!I4</f>
        <v/>
      </c>
    </row>
    <row r="8">
      <c r="A8">
        <f>A7</f>
        <v/>
      </c>
      <c r="B8">
        <f>B7</f>
        <v/>
      </c>
      <c r="C8" t="inlineStr">
        <is>
          <t>OT</t>
        </is>
      </c>
      <c r="D8">
        <f>'Payroll Summary'!E4</f>
        <v/>
      </c>
    </row>
    <row r="9">
      <c r="A9">
        <f>A8</f>
        <v/>
      </c>
      <c r="B9">
        <f>B8</f>
        <v/>
      </c>
      <c r="C9" t="inlineStr">
        <is>
          <t>RA</t>
        </is>
      </c>
      <c r="D9">
        <f>'Payroll Summary'!H4</f>
        <v/>
      </c>
    </row>
    <row r="10">
      <c r="A10">
        <f>'Payroll Summary'!B5</f>
        <v/>
      </c>
      <c r="B10">
        <f>'Payroll Summary'!A5</f>
        <v/>
      </c>
      <c r="C10" t="inlineStr">
        <is>
          <t>ANNLEAVE</t>
        </is>
      </c>
      <c r="D10">
        <f>'Payroll Summary'!J5</f>
        <v/>
      </c>
    </row>
    <row r="11">
      <c r="A11">
        <f>A10</f>
        <v/>
      </c>
      <c r="B11">
        <f>B10</f>
        <v/>
      </c>
      <c r="C11" t="inlineStr">
        <is>
          <t>NR</t>
        </is>
      </c>
      <c r="D11">
        <f>'Payroll Summary'!D5</f>
        <v/>
      </c>
    </row>
    <row r="12">
      <c r="A12">
        <f>A11</f>
        <v/>
      </c>
      <c r="B12">
        <f>B11</f>
        <v/>
      </c>
      <c r="C12" t="inlineStr">
        <is>
          <t>OT1</t>
        </is>
      </c>
      <c r="D12">
        <f>'Payroll Summary'!F5</f>
        <v/>
      </c>
    </row>
    <row r="13">
      <c r="A13">
        <f>A12</f>
        <v/>
      </c>
      <c r="B13">
        <f>B12</f>
        <v/>
      </c>
      <c r="C13" t="inlineStr">
        <is>
          <t>80125</t>
        </is>
      </c>
      <c r="D13">
        <f>'Payroll Summary'!G5</f>
        <v/>
      </c>
    </row>
    <row r="14">
      <c r="A14">
        <f>A13</f>
        <v/>
      </c>
      <c r="B14">
        <f>B13</f>
        <v/>
      </c>
      <c r="C14" t="inlineStr">
        <is>
          <t>INCENTIVE</t>
        </is>
      </c>
      <c r="D14">
        <f>'Payroll Summary'!L5</f>
        <v/>
      </c>
    </row>
    <row r="15">
      <c r="A15">
        <f>A14</f>
        <v/>
      </c>
      <c r="B15">
        <f>B14</f>
        <v/>
      </c>
      <c r="C15" t="inlineStr">
        <is>
          <t>MA</t>
        </is>
      </c>
      <c r="D15">
        <f>'Payroll Summary'!I5</f>
        <v/>
      </c>
    </row>
    <row r="16">
      <c r="A16">
        <f>A15</f>
        <v/>
      </c>
      <c r="B16">
        <f>B15</f>
        <v/>
      </c>
      <c r="C16" t="inlineStr">
        <is>
          <t>OT</t>
        </is>
      </c>
      <c r="D16">
        <f>'Payroll Summary'!E5</f>
        <v/>
      </c>
    </row>
    <row r="17">
      <c r="A17">
        <f>A16</f>
        <v/>
      </c>
      <c r="B17">
        <f>B16</f>
        <v/>
      </c>
      <c r="C17" t="inlineStr">
        <is>
          <t>RA</t>
        </is>
      </c>
      <c r="D17">
        <f>'Payroll Summary'!H5</f>
        <v/>
      </c>
    </row>
    <row r="18">
      <c r="A18">
        <f>'Payroll Summary'!B6</f>
        <v/>
      </c>
      <c r="B18">
        <f>'Payroll Summary'!A6</f>
        <v/>
      </c>
      <c r="C18" t="inlineStr">
        <is>
          <t>ANNLEAVE</t>
        </is>
      </c>
      <c r="D18">
        <f>'Payroll Summary'!J6</f>
        <v/>
      </c>
    </row>
    <row r="19">
      <c r="A19">
        <f>A18</f>
        <v/>
      </c>
      <c r="B19">
        <f>B18</f>
        <v/>
      </c>
      <c r="C19" t="inlineStr">
        <is>
          <t>NR</t>
        </is>
      </c>
      <c r="D19">
        <f>'Payroll Summary'!D6</f>
        <v/>
      </c>
    </row>
    <row r="20">
      <c r="A20">
        <f>A19</f>
        <v/>
      </c>
      <c r="B20">
        <f>B19</f>
        <v/>
      </c>
      <c r="C20" t="inlineStr">
        <is>
          <t>OT1</t>
        </is>
      </c>
      <c r="D20">
        <f>'Payroll Summary'!F6</f>
        <v/>
      </c>
    </row>
    <row r="21">
      <c r="A21">
        <f>A20</f>
        <v/>
      </c>
      <c r="B21">
        <f>B20</f>
        <v/>
      </c>
      <c r="C21" t="inlineStr">
        <is>
          <t>80125</t>
        </is>
      </c>
      <c r="D21">
        <f>'Payroll Summary'!G6</f>
        <v/>
      </c>
    </row>
    <row r="22">
      <c r="A22">
        <f>A21</f>
        <v/>
      </c>
      <c r="B22">
        <f>B21</f>
        <v/>
      </c>
      <c r="C22" t="inlineStr">
        <is>
          <t>INCENTIVE</t>
        </is>
      </c>
      <c r="D22">
        <f>'Payroll Summary'!L6</f>
        <v/>
      </c>
    </row>
    <row r="23">
      <c r="A23">
        <f>A22</f>
        <v/>
      </c>
      <c r="B23">
        <f>B22</f>
        <v/>
      </c>
      <c r="C23" t="inlineStr">
        <is>
          <t>MA</t>
        </is>
      </c>
      <c r="D23">
        <f>'Payroll Summary'!I6</f>
        <v/>
      </c>
    </row>
    <row r="24">
      <c r="A24">
        <f>A23</f>
        <v/>
      </c>
      <c r="B24">
        <f>B23</f>
        <v/>
      </c>
      <c r="C24" t="inlineStr">
        <is>
          <t>OT</t>
        </is>
      </c>
      <c r="D24">
        <f>'Payroll Summary'!E6</f>
        <v/>
      </c>
    </row>
    <row r="25">
      <c r="A25">
        <f>A24</f>
        <v/>
      </c>
      <c r="B25">
        <f>B24</f>
        <v/>
      </c>
      <c r="C25" t="inlineStr">
        <is>
          <t>RA</t>
        </is>
      </c>
      <c r="D25">
        <f>'Payroll Summary'!H6</f>
        <v/>
      </c>
    </row>
    <row r="26">
      <c r="A26">
        <f>'Payroll Summary'!B7</f>
        <v/>
      </c>
      <c r="B26">
        <f>'Payroll Summary'!A7</f>
        <v/>
      </c>
      <c r="C26" t="inlineStr">
        <is>
          <t>ANNLEAVE</t>
        </is>
      </c>
      <c r="D26">
        <f>'Payroll Summary'!J7</f>
        <v/>
      </c>
    </row>
    <row r="27">
      <c r="A27">
        <f>A26</f>
        <v/>
      </c>
      <c r="B27">
        <f>B26</f>
        <v/>
      </c>
      <c r="C27" t="inlineStr">
        <is>
          <t>NR</t>
        </is>
      </c>
      <c r="D27">
        <f>'Payroll Summary'!D7</f>
        <v/>
      </c>
    </row>
    <row r="28">
      <c r="A28">
        <f>A27</f>
        <v/>
      </c>
      <c r="B28">
        <f>B27</f>
        <v/>
      </c>
      <c r="C28" t="inlineStr">
        <is>
          <t>OT1</t>
        </is>
      </c>
      <c r="D28">
        <f>'Payroll Summary'!F7</f>
        <v/>
      </c>
    </row>
    <row r="29">
      <c r="A29">
        <f>A28</f>
        <v/>
      </c>
      <c r="B29">
        <f>B28</f>
        <v/>
      </c>
      <c r="C29" t="inlineStr">
        <is>
          <t>80125</t>
        </is>
      </c>
      <c r="D29">
        <f>'Payroll Summary'!G7</f>
        <v/>
      </c>
    </row>
    <row r="30">
      <c r="A30">
        <f>A29</f>
        <v/>
      </c>
      <c r="B30">
        <f>B29</f>
        <v/>
      </c>
      <c r="C30" t="inlineStr">
        <is>
          <t>INCENTIVE</t>
        </is>
      </c>
      <c r="D30">
        <f>'Payroll Summary'!L7</f>
        <v/>
      </c>
    </row>
    <row r="31">
      <c r="A31">
        <f>A30</f>
        <v/>
      </c>
      <c r="B31">
        <f>B30</f>
        <v/>
      </c>
      <c r="C31" t="inlineStr">
        <is>
          <t>MA</t>
        </is>
      </c>
      <c r="D31">
        <f>'Payroll Summary'!I7</f>
        <v/>
      </c>
    </row>
    <row r="32">
      <c r="A32">
        <f>A31</f>
        <v/>
      </c>
      <c r="B32">
        <f>B31</f>
        <v/>
      </c>
      <c r="C32" t="inlineStr">
        <is>
          <t>OT</t>
        </is>
      </c>
      <c r="D32">
        <f>'Payroll Summary'!E7</f>
        <v/>
      </c>
    </row>
    <row r="33">
      <c r="A33">
        <f>A32</f>
        <v/>
      </c>
      <c r="B33">
        <f>B32</f>
        <v/>
      </c>
      <c r="C33" t="inlineStr">
        <is>
          <t>RA</t>
        </is>
      </c>
      <c r="D33">
        <f>'Payroll Summary'!H7</f>
        <v/>
      </c>
    </row>
    <row r="34">
      <c r="A34">
        <f>'Payroll Summary'!B8</f>
        <v/>
      </c>
      <c r="B34">
        <f>'Payroll Summary'!A8</f>
        <v/>
      </c>
      <c r="C34" t="inlineStr">
        <is>
          <t>ANNLEAVE</t>
        </is>
      </c>
      <c r="D34">
        <f>'Payroll Summary'!J8</f>
        <v/>
      </c>
    </row>
    <row r="35">
      <c r="A35">
        <f>A34</f>
        <v/>
      </c>
      <c r="B35">
        <f>B34</f>
        <v/>
      </c>
      <c r="C35" t="inlineStr">
        <is>
          <t>NR</t>
        </is>
      </c>
      <c r="D35">
        <f>'Payroll Summary'!D8</f>
        <v/>
      </c>
    </row>
    <row r="36">
      <c r="A36">
        <f>A35</f>
        <v/>
      </c>
      <c r="B36">
        <f>B35</f>
        <v/>
      </c>
      <c r="C36" t="inlineStr">
        <is>
          <t>OT1</t>
        </is>
      </c>
      <c r="D36">
        <f>'Payroll Summary'!F8</f>
        <v/>
      </c>
    </row>
    <row r="37">
      <c r="A37">
        <f>A36</f>
        <v/>
      </c>
      <c r="B37">
        <f>B36</f>
        <v/>
      </c>
      <c r="C37" t="inlineStr">
        <is>
          <t>80125</t>
        </is>
      </c>
      <c r="D37">
        <f>'Payroll Summary'!G8</f>
        <v/>
      </c>
    </row>
    <row r="38">
      <c r="A38">
        <f>A37</f>
        <v/>
      </c>
      <c r="B38">
        <f>B37</f>
        <v/>
      </c>
      <c r="C38" t="inlineStr">
        <is>
          <t>INCENTIVE</t>
        </is>
      </c>
      <c r="D38">
        <f>'Payroll Summary'!L8</f>
        <v/>
      </c>
    </row>
    <row r="39">
      <c r="A39">
        <f>A38</f>
        <v/>
      </c>
      <c r="B39">
        <f>B38</f>
        <v/>
      </c>
      <c r="C39" t="inlineStr">
        <is>
          <t>MA</t>
        </is>
      </c>
      <c r="D39">
        <f>'Payroll Summary'!I8</f>
        <v/>
      </c>
    </row>
    <row r="40">
      <c r="A40">
        <f>A39</f>
        <v/>
      </c>
      <c r="B40">
        <f>B39</f>
        <v/>
      </c>
      <c r="C40" t="inlineStr">
        <is>
          <t>OT</t>
        </is>
      </c>
      <c r="D40">
        <f>'Payroll Summary'!E8</f>
        <v/>
      </c>
    </row>
    <row r="41">
      <c r="A41">
        <f>A40</f>
        <v/>
      </c>
      <c r="B41">
        <f>B40</f>
        <v/>
      </c>
      <c r="C41" t="inlineStr">
        <is>
          <t>RA</t>
        </is>
      </c>
      <c r="D41">
        <f>'Payroll Summary'!H8</f>
        <v/>
      </c>
    </row>
    <row r="42">
      <c r="A42">
        <f>'Payroll Summary'!B9</f>
        <v/>
      </c>
      <c r="B42">
        <f>'Payroll Summary'!A9</f>
        <v/>
      </c>
      <c r="C42" t="inlineStr">
        <is>
          <t>ANNLEAVE</t>
        </is>
      </c>
      <c r="D42">
        <f>'Payroll Summary'!J9</f>
        <v/>
      </c>
    </row>
    <row r="43">
      <c r="A43">
        <f>A42</f>
        <v/>
      </c>
      <c r="B43">
        <f>B42</f>
        <v/>
      </c>
      <c r="C43" t="inlineStr">
        <is>
          <t>NR</t>
        </is>
      </c>
      <c r="D43">
        <f>'Payroll Summary'!D9</f>
        <v/>
      </c>
    </row>
    <row r="44">
      <c r="A44">
        <f>A43</f>
        <v/>
      </c>
      <c r="B44">
        <f>B43</f>
        <v/>
      </c>
      <c r="C44" t="inlineStr">
        <is>
          <t>OT1</t>
        </is>
      </c>
      <c r="D44">
        <f>'Payroll Summary'!F9</f>
        <v/>
      </c>
    </row>
    <row r="45">
      <c r="A45">
        <f>A44</f>
        <v/>
      </c>
      <c r="B45">
        <f>B44</f>
        <v/>
      </c>
      <c r="C45" t="inlineStr">
        <is>
          <t>80125</t>
        </is>
      </c>
      <c r="D45">
        <f>'Payroll Summary'!G9</f>
        <v/>
      </c>
    </row>
    <row r="46">
      <c r="A46">
        <f>A45</f>
        <v/>
      </c>
      <c r="B46">
        <f>B45</f>
        <v/>
      </c>
      <c r="C46" t="inlineStr">
        <is>
          <t>INCENTIVE</t>
        </is>
      </c>
      <c r="D46">
        <f>'Payroll Summary'!L9</f>
        <v/>
      </c>
    </row>
    <row r="47">
      <c r="A47">
        <f>A46</f>
        <v/>
      </c>
      <c r="B47">
        <f>B46</f>
        <v/>
      </c>
      <c r="C47" t="inlineStr">
        <is>
          <t>MA</t>
        </is>
      </c>
      <c r="D47">
        <f>'Payroll Summary'!I9</f>
        <v/>
      </c>
    </row>
    <row r="48">
      <c r="A48">
        <f>A47</f>
        <v/>
      </c>
      <c r="B48">
        <f>B47</f>
        <v/>
      </c>
      <c r="C48" t="inlineStr">
        <is>
          <t>OT</t>
        </is>
      </c>
      <c r="D48">
        <f>'Payroll Summary'!E9</f>
        <v/>
      </c>
    </row>
    <row r="49">
      <c r="A49">
        <f>A48</f>
        <v/>
      </c>
      <c r="B49">
        <f>B48</f>
        <v/>
      </c>
      <c r="C49" t="inlineStr">
        <is>
          <t>RA</t>
        </is>
      </c>
      <c r="D49">
        <f>'Payroll Summary'!H9</f>
        <v/>
      </c>
    </row>
    <row r="50">
      <c r="A50">
        <f>'Payroll Summary'!B10</f>
        <v/>
      </c>
      <c r="B50">
        <f>'Payroll Summary'!A10</f>
        <v/>
      </c>
      <c r="C50" t="inlineStr">
        <is>
          <t>ANNLEAVE</t>
        </is>
      </c>
      <c r="D50">
        <f>'Payroll Summary'!J10</f>
        <v/>
      </c>
    </row>
    <row r="51">
      <c r="A51">
        <f>A50</f>
        <v/>
      </c>
      <c r="B51">
        <f>B50</f>
        <v/>
      </c>
      <c r="C51" t="inlineStr">
        <is>
          <t>NR</t>
        </is>
      </c>
      <c r="D51">
        <f>'Payroll Summary'!D10</f>
        <v/>
      </c>
    </row>
    <row r="52">
      <c r="A52">
        <f>A51</f>
        <v/>
      </c>
      <c r="B52">
        <f>B51</f>
        <v/>
      </c>
      <c r="C52" t="inlineStr">
        <is>
          <t>OT1</t>
        </is>
      </c>
      <c r="D52">
        <f>'Payroll Summary'!F10</f>
        <v/>
      </c>
    </row>
    <row r="53">
      <c r="A53">
        <f>A52</f>
        <v/>
      </c>
      <c r="B53">
        <f>B52</f>
        <v/>
      </c>
      <c r="C53" t="inlineStr">
        <is>
          <t>80125</t>
        </is>
      </c>
      <c r="D53">
        <f>'Payroll Summary'!G10</f>
        <v/>
      </c>
    </row>
    <row r="54">
      <c r="A54">
        <f>A53</f>
        <v/>
      </c>
      <c r="B54">
        <f>B53</f>
        <v/>
      </c>
      <c r="C54" t="inlineStr">
        <is>
          <t>INCENTIVE</t>
        </is>
      </c>
      <c r="D54">
        <f>'Payroll Summary'!L10</f>
        <v/>
      </c>
    </row>
    <row r="55">
      <c r="A55">
        <f>A54</f>
        <v/>
      </c>
      <c r="B55">
        <f>B54</f>
        <v/>
      </c>
      <c r="C55" t="inlineStr">
        <is>
          <t>MA</t>
        </is>
      </c>
      <c r="D55">
        <f>'Payroll Summary'!I10</f>
        <v/>
      </c>
    </row>
    <row r="56">
      <c r="A56">
        <f>A55</f>
        <v/>
      </c>
      <c r="B56">
        <f>B55</f>
        <v/>
      </c>
      <c r="C56" t="inlineStr">
        <is>
          <t>OT</t>
        </is>
      </c>
      <c r="D56">
        <f>'Payroll Summary'!E10</f>
        <v/>
      </c>
    </row>
    <row r="57">
      <c r="A57">
        <f>A56</f>
        <v/>
      </c>
      <c r="B57">
        <f>B56</f>
        <v/>
      </c>
      <c r="C57" t="inlineStr">
        <is>
          <t>RA</t>
        </is>
      </c>
      <c r="D57">
        <f>'Payroll Summary'!H10</f>
        <v/>
      </c>
    </row>
    <row r="58">
      <c r="A58">
        <f>'Payroll Summary'!B11</f>
        <v/>
      </c>
      <c r="B58">
        <f>'Payroll Summary'!A11</f>
        <v/>
      </c>
      <c r="C58" t="inlineStr">
        <is>
          <t>ANNLEAVE</t>
        </is>
      </c>
      <c r="D58">
        <f>'Payroll Summary'!J11</f>
        <v/>
      </c>
    </row>
    <row r="59">
      <c r="A59">
        <f>A58</f>
        <v/>
      </c>
      <c r="B59">
        <f>B58</f>
        <v/>
      </c>
      <c r="C59" t="inlineStr">
        <is>
          <t>NR</t>
        </is>
      </c>
      <c r="D59">
        <f>'Payroll Summary'!D11</f>
        <v/>
      </c>
    </row>
    <row r="60">
      <c r="A60">
        <f>A59</f>
        <v/>
      </c>
      <c r="B60">
        <f>B59</f>
        <v/>
      </c>
      <c r="C60" t="inlineStr">
        <is>
          <t>OT1</t>
        </is>
      </c>
      <c r="D60">
        <f>'Payroll Summary'!F11</f>
        <v/>
      </c>
    </row>
    <row r="61">
      <c r="A61">
        <f>A60</f>
        <v/>
      </c>
      <c r="B61">
        <f>B60</f>
        <v/>
      </c>
      <c r="C61" t="inlineStr">
        <is>
          <t>80125</t>
        </is>
      </c>
      <c r="D61">
        <f>'Payroll Summary'!G11</f>
        <v/>
      </c>
    </row>
    <row r="62">
      <c r="A62">
        <f>A61</f>
        <v/>
      </c>
      <c r="B62">
        <f>B61</f>
        <v/>
      </c>
      <c r="C62" t="inlineStr">
        <is>
          <t>INCENTIVE</t>
        </is>
      </c>
      <c r="D62">
        <f>'Payroll Summary'!L11</f>
        <v/>
      </c>
    </row>
    <row r="63">
      <c r="A63">
        <f>A62</f>
        <v/>
      </c>
      <c r="B63">
        <f>B62</f>
        <v/>
      </c>
      <c r="C63" t="inlineStr">
        <is>
          <t>MA</t>
        </is>
      </c>
      <c r="D63">
        <f>'Payroll Summary'!I11</f>
        <v/>
      </c>
    </row>
    <row r="64">
      <c r="A64">
        <f>A63</f>
        <v/>
      </c>
      <c r="B64">
        <f>B63</f>
        <v/>
      </c>
      <c r="C64" t="inlineStr">
        <is>
          <t>OT</t>
        </is>
      </c>
      <c r="D64">
        <f>'Payroll Summary'!E11</f>
        <v/>
      </c>
    </row>
    <row r="65">
      <c r="A65">
        <f>A64</f>
        <v/>
      </c>
      <c r="B65">
        <f>B64</f>
        <v/>
      </c>
      <c r="C65" t="inlineStr">
        <is>
          <t>RA</t>
        </is>
      </c>
      <c r="D65">
        <f>'Payroll Summary'!H11</f>
        <v/>
      </c>
    </row>
    <row r="66">
      <c r="A66">
        <f>'Payroll Summary'!B12</f>
        <v/>
      </c>
      <c r="B66">
        <f>'Payroll Summary'!A12</f>
        <v/>
      </c>
      <c r="C66" t="inlineStr">
        <is>
          <t>ANNLEAVE</t>
        </is>
      </c>
      <c r="D66">
        <f>'Payroll Summary'!J12</f>
        <v/>
      </c>
    </row>
    <row r="67">
      <c r="A67">
        <f>A66</f>
        <v/>
      </c>
      <c r="B67">
        <f>B66</f>
        <v/>
      </c>
      <c r="C67" t="inlineStr">
        <is>
          <t>NR</t>
        </is>
      </c>
      <c r="D67">
        <f>'Payroll Summary'!D12</f>
        <v/>
      </c>
    </row>
    <row r="68">
      <c r="A68">
        <f>A67</f>
        <v/>
      </c>
      <c r="B68">
        <f>B67</f>
        <v/>
      </c>
      <c r="C68" t="inlineStr">
        <is>
          <t>OT1</t>
        </is>
      </c>
      <c r="D68">
        <f>'Payroll Summary'!F12</f>
        <v/>
      </c>
    </row>
    <row r="69">
      <c r="A69">
        <f>A68</f>
        <v/>
      </c>
      <c r="B69">
        <f>B68</f>
        <v/>
      </c>
      <c r="C69" t="inlineStr">
        <is>
          <t>80125</t>
        </is>
      </c>
      <c r="D69">
        <f>'Payroll Summary'!G12</f>
        <v/>
      </c>
    </row>
    <row r="70">
      <c r="A70">
        <f>A69</f>
        <v/>
      </c>
      <c r="B70">
        <f>B69</f>
        <v/>
      </c>
      <c r="C70" t="inlineStr">
        <is>
          <t>INCENTIVE</t>
        </is>
      </c>
      <c r="D70">
        <f>'Payroll Summary'!L12</f>
        <v/>
      </c>
    </row>
    <row r="71">
      <c r="A71">
        <f>A70</f>
        <v/>
      </c>
      <c r="B71">
        <f>B70</f>
        <v/>
      </c>
      <c r="C71" t="inlineStr">
        <is>
          <t>MA</t>
        </is>
      </c>
      <c r="D71">
        <f>'Payroll Summary'!I12</f>
        <v/>
      </c>
    </row>
    <row r="72">
      <c r="A72">
        <f>A71</f>
        <v/>
      </c>
      <c r="B72">
        <f>B71</f>
        <v/>
      </c>
      <c r="C72" t="inlineStr">
        <is>
          <t>OT</t>
        </is>
      </c>
      <c r="D72">
        <f>'Payroll Summary'!E12</f>
        <v/>
      </c>
    </row>
    <row r="73">
      <c r="A73">
        <f>A72</f>
        <v/>
      </c>
      <c r="B73">
        <f>B72</f>
        <v/>
      </c>
      <c r="C73" t="inlineStr">
        <is>
          <t>RA</t>
        </is>
      </c>
      <c r="D73">
        <f>'Payroll Summary'!H12</f>
        <v/>
      </c>
    </row>
    <row r="74">
      <c r="A74">
        <f>'Payroll Summary'!B13</f>
        <v/>
      </c>
      <c r="B74">
        <f>'Payroll Summary'!A13</f>
        <v/>
      </c>
      <c r="C74" t="inlineStr">
        <is>
          <t>ANNLEAVE</t>
        </is>
      </c>
      <c r="D74">
        <f>'Payroll Summary'!J13</f>
        <v/>
      </c>
    </row>
    <row r="75">
      <c r="A75">
        <f>A74</f>
        <v/>
      </c>
      <c r="B75">
        <f>B74</f>
        <v/>
      </c>
      <c r="C75" t="inlineStr">
        <is>
          <t>NR</t>
        </is>
      </c>
      <c r="D75">
        <f>'Payroll Summary'!D13</f>
        <v/>
      </c>
    </row>
    <row r="76">
      <c r="A76">
        <f>A75</f>
        <v/>
      </c>
      <c r="B76">
        <f>B75</f>
        <v/>
      </c>
      <c r="C76" t="inlineStr">
        <is>
          <t>OT1</t>
        </is>
      </c>
      <c r="D76">
        <f>'Payroll Summary'!F13</f>
        <v/>
      </c>
    </row>
    <row r="77">
      <c r="A77">
        <f>A76</f>
        <v/>
      </c>
      <c r="B77">
        <f>B76</f>
        <v/>
      </c>
      <c r="C77" t="inlineStr">
        <is>
          <t>80125</t>
        </is>
      </c>
      <c r="D77">
        <f>'Payroll Summary'!G13</f>
        <v/>
      </c>
    </row>
    <row r="78">
      <c r="A78">
        <f>A77</f>
        <v/>
      </c>
      <c r="B78">
        <f>B77</f>
        <v/>
      </c>
      <c r="C78" t="inlineStr">
        <is>
          <t>INCENTIVE</t>
        </is>
      </c>
      <c r="D78">
        <f>'Payroll Summary'!L13</f>
        <v/>
      </c>
    </row>
    <row r="79">
      <c r="A79">
        <f>A78</f>
        <v/>
      </c>
      <c r="B79">
        <f>B78</f>
        <v/>
      </c>
      <c r="C79" t="inlineStr">
        <is>
          <t>MA</t>
        </is>
      </c>
      <c r="D79">
        <f>'Payroll Summary'!I13</f>
        <v/>
      </c>
    </row>
    <row r="80">
      <c r="A80">
        <f>A79</f>
        <v/>
      </c>
      <c r="B80">
        <f>B79</f>
        <v/>
      </c>
      <c r="C80" t="inlineStr">
        <is>
          <t>OT</t>
        </is>
      </c>
      <c r="D80">
        <f>'Payroll Summary'!E13</f>
        <v/>
      </c>
    </row>
    <row r="81">
      <c r="A81">
        <f>A80</f>
        <v/>
      </c>
      <c r="B81">
        <f>B80</f>
        <v/>
      </c>
      <c r="C81" t="inlineStr">
        <is>
          <t>RA</t>
        </is>
      </c>
      <c r="D81">
        <f>'Payroll Summary'!H13</f>
        <v/>
      </c>
    </row>
    <row r="82">
      <c r="A82">
        <f>'Payroll Summary'!B14</f>
        <v/>
      </c>
      <c r="B82">
        <f>'Payroll Summary'!A14</f>
        <v/>
      </c>
      <c r="C82" t="inlineStr">
        <is>
          <t>ANNLEAVE</t>
        </is>
      </c>
      <c r="D82">
        <f>'Payroll Summary'!J14</f>
        <v/>
      </c>
    </row>
    <row r="83">
      <c r="A83">
        <f>A82</f>
        <v/>
      </c>
      <c r="B83">
        <f>B82</f>
        <v/>
      </c>
      <c r="C83" t="inlineStr">
        <is>
          <t>NR</t>
        </is>
      </c>
      <c r="D83">
        <f>'Payroll Summary'!D14</f>
        <v/>
      </c>
    </row>
    <row r="84">
      <c r="A84">
        <f>A83</f>
        <v/>
      </c>
      <c r="B84">
        <f>B83</f>
        <v/>
      </c>
      <c r="C84" t="inlineStr">
        <is>
          <t>OT1</t>
        </is>
      </c>
      <c r="D84">
        <f>'Payroll Summary'!F14</f>
        <v/>
      </c>
    </row>
    <row r="85">
      <c r="A85">
        <f>A84</f>
        <v/>
      </c>
      <c r="B85">
        <f>B84</f>
        <v/>
      </c>
      <c r="C85" t="inlineStr">
        <is>
          <t>80125</t>
        </is>
      </c>
      <c r="D85">
        <f>'Payroll Summary'!G14</f>
        <v/>
      </c>
    </row>
    <row r="86">
      <c r="A86">
        <f>A85</f>
        <v/>
      </c>
      <c r="B86">
        <f>B85</f>
        <v/>
      </c>
      <c r="C86" t="inlineStr">
        <is>
          <t>INCENTIVE</t>
        </is>
      </c>
      <c r="D86">
        <f>'Payroll Summary'!L14</f>
        <v/>
      </c>
    </row>
    <row r="87">
      <c r="A87">
        <f>A86</f>
        <v/>
      </c>
      <c r="B87">
        <f>B86</f>
        <v/>
      </c>
      <c r="C87" t="inlineStr">
        <is>
          <t>MA</t>
        </is>
      </c>
      <c r="D87">
        <f>'Payroll Summary'!I14</f>
        <v/>
      </c>
    </row>
    <row r="88">
      <c r="A88">
        <f>A87</f>
        <v/>
      </c>
      <c r="B88">
        <f>B87</f>
        <v/>
      </c>
      <c r="C88" t="inlineStr">
        <is>
          <t>OT</t>
        </is>
      </c>
      <c r="D88">
        <f>'Payroll Summary'!E14</f>
        <v/>
      </c>
    </row>
    <row r="89">
      <c r="A89">
        <f>A88</f>
        <v/>
      </c>
      <c r="B89">
        <f>B88</f>
        <v/>
      </c>
      <c r="C89" t="inlineStr">
        <is>
          <t>RA</t>
        </is>
      </c>
      <c r="D89">
        <f>'Payroll Summary'!H14</f>
        <v/>
      </c>
    </row>
    <row r="90">
      <c r="A90">
        <f>'Payroll Summary'!B15</f>
        <v/>
      </c>
      <c r="B90">
        <f>'Payroll Summary'!A15</f>
        <v/>
      </c>
      <c r="C90" t="inlineStr">
        <is>
          <t>ANNLEAVE</t>
        </is>
      </c>
      <c r="D90">
        <f>'Payroll Summary'!J15</f>
        <v/>
      </c>
    </row>
    <row r="91">
      <c r="A91">
        <f>A90</f>
        <v/>
      </c>
      <c r="B91">
        <f>B90</f>
        <v/>
      </c>
      <c r="C91" t="inlineStr">
        <is>
          <t>NR</t>
        </is>
      </c>
      <c r="D91">
        <f>'Payroll Summary'!D15</f>
        <v/>
      </c>
    </row>
    <row r="92">
      <c r="A92">
        <f>A91</f>
        <v/>
      </c>
      <c r="B92">
        <f>B91</f>
        <v/>
      </c>
      <c r="C92" t="inlineStr">
        <is>
          <t>OT1</t>
        </is>
      </c>
      <c r="D92">
        <f>'Payroll Summary'!F15</f>
        <v/>
      </c>
    </row>
    <row r="93">
      <c r="A93">
        <f>A92</f>
        <v/>
      </c>
      <c r="B93">
        <f>B92</f>
        <v/>
      </c>
      <c r="C93" t="inlineStr">
        <is>
          <t>80125</t>
        </is>
      </c>
      <c r="D93">
        <f>'Payroll Summary'!G15</f>
        <v/>
      </c>
    </row>
    <row r="94">
      <c r="A94">
        <f>A93</f>
        <v/>
      </c>
      <c r="B94">
        <f>B93</f>
        <v/>
      </c>
      <c r="C94" t="inlineStr">
        <is>
          <t>INCENTIVE</t>
        </is>
      </c>
      <c r="D94">
        <f>'Payroll Summary'!L15</f>
        <v/>
      </c>
    </row>
    <row r="95">
      <c r="A95">
        <f>A94</f>
        <v/>
      </c>
      <c r="B95">
        <f>B94</f>
        <v/>
      </c>
      <c r="C95" t="inlineStr">
        <is>
          <t>MA</t>
        </is>
      </c>
      <c r="D95">
        <f>'Payroll Summary'!I15</f>
        <v/>
      </c>
    </row>
    <row r="96">
      <c r="A96">
        <f>A95</f>
        <v/>
      </c>
      <c r="B96">
        <f>B95</f>
        <v/>
      </c>
      <c r="C96" t="inlineStr">
        <is>
          <t>OT</t>
        </is>
      </c>
      <c r="D96">
        <f>'Payroll Summary'!E15</f>
        <v/>
      </c>
    </row>
    <row r="97">
      <c r="A97">
        <f>A96</f>
        <v/>
      </c>
      <c r="B97">
        <f>B96</f>
        <v/>
      </c>
      <c r="C97" t="inlineStr">
        <is>
          <t>RA</t>
        </is>
      </c>
      <c r="D97">
        <f>'Payroll Summary'!H15</f>
        <v/>
      </c>
    </row>
    <row r="98">
      <c r="A98">
        <f>'Payroll Summary'!B16</f>
        <v/>
      </c>
      <c r="B98">
        <f>'Payroll Summary'!A16</f>
        <v/>
      </c>
      <c r="C98" t="inlineStr">
        <is>
          <t>ANNLEAVE</t>
        </is>
      </c>
      <c r="D98">
        <f>'Payroll Summary'!J16</f>
        <v/>
      </c>
    </row>
    <row r="99">
      <c r="A99">
        <f>A98</f>
        <v/>
      </c>
      <c r="B99">
        <f>B98</f>
        <v/>
      </c>
      <c r="C99" t="inlineStr">
        <is>
          <t>NR</t>
        </is>
      </c>
      <c r="D99">
        <f>'Payroll Summary'!D16</f>
        <v/>
      </c>
    </row>
    <row r="100">
      <c r="A100">
        <f>A99</f>
        <v/>
      </c>
      <c r="B100">
        <f>B99</f>
        <v/>
      </c>
      <c r="C100" t="inlineStr">
        <is>
          <t>OT1</t>
        </is>
      </c>
      <c r="D100">
        <f>'Payroll Summary'!F16</f>
        <v/>
      </c>
    </row>
    <row r="101">
      <c r="A101">
        <f>A100</f>
        <v/>
      </c>
      <c r="B101">
        <f>B100</f>
        <v/>
      </c>
      <c r="C101" t="inlineStr">
        <is>
          <t>80125</t>
        </is>
      </c>
      <c r="D101">
        <f>'Payroll Summary'!G16</f>
        <v/>
      </c>
    </row>
    <row r="102">
      <c r="A102">
        <f>A101</f>
        <v/>
      </c>
      <c r="B102">
        <f>B101</f>
        <v/>
      </c>
      <c r="C102" t="inlineStr">
        <is>
          <t>INCENTIVE</t>
        </is>
      </c>
      <c r="D102">
        <f>'Payroll Summary'!L16</f>
        <v/>
      </c>
    </row>
    <row r="103">
      <c r="A103">
        <f>A102</f>
        <v/>
      </c>
      <c r="B103">
        <f>B102</f>
        <v/>
      </c>
      <c r="C103" t="inlineStr">
        <is>
          <t>MA</t>
        </is>
      </c>
      <c r="D103">
        <f>'Payroll Summary'!I16</f>
        <v/>
      </c>
    </row>
    <row r="104">
      <c r="A104">
        <f>A103</f>
        <v/>
      </c>
      <c r="B104">
        <f>B103</f>
        <v/>
      </c>
      <c r="C104" t="inlineStr">
        <is>
          <t>OT</t>
        </is>
      </c>
      <c r="D104">
        <f>'Payroll Summary'!E16</f>
        <v/>
      </c>
    </row>
    <row r="105">
      <c r="A105">
        <f>A104</f>
        <v/>
      </c>
      <c r="B105">
        <f>B104</f>
        <v/>
      </c>
      <c r="C105" t="inlineStr">
        <is>
          <t>RA</t>
        </is>
      </c>
      <c r="D105">
        <f>'Payroll Summary'!H16</f>
        <v/>
      </c>
    </row>
    <row r="106">
      <c r="A106">
        <f>'Payroll Summary'!B17</f>
        <v/>
      </c>
      <c r="B106">
        <f>'Payroll Summary'!A17</f>
        <v/>
      </c>
      <c r="C106" t="inlineStr">
        <is>
          <t>ANNLEAVE</t>
        </is>
      </c>
      <c r="D106">
        <f>'Payroll Summary'!J17</f>
        <v/>
      </c>
    </row>
    <row r="107">
      <c r="A107">
        <f>A106</f>
        <v/>
      </c>
      <c r="B107">
        <f>B106</f>
        <v/>
      </c>
      <c r="C107" t="inlineStr">
        <is>
          <t>NR</t>
        </is>
      </c>
      <c r="D107">
        <f>'Payroll Summary'!D17</f>
        <v/>
      </c>
    </row>
    <row r="108">
      <c r="A108">
        <f>A107</f>
        <v/>
      </c>
      <c r="B108">
        <f>B107</f>
        <v/>
      </c>
      <c r="C108" t="inlineStr">
        <is>
          <t>OT1</t>
        </is>
      </c>
      <c r="D108">
        <f>'Payroll Summary'!F17</f>
        <v/>
      </c>
    </row>
    <row r="109">
      <c r="A109">
        <f>A108</f>
        <v/>
      </c>
      <c r="B109">
        <f>B108</f>
        <v/>
      </c>
      <c r="C109" t="inlineStr">
        <is>
          <t>80125</t>
        </is>
      </c>
      <c r="D109">
        <f>'Payroll Summary'!G17</f>
        <v/>
      </c>
    </row>
    <row r="110">
      <c r="A110">
        <f>A109</f>
        <v/>
      </c>
      <c r="B110">
        <f>B109</f>
        <v/>
      </c>
      <c r="C110" t="inlineStr">
        <is>
          <t>INCENTIVE</t>
        </is>
      </c>
      <c r="D110">
        <f>'Payroll Summary'!L17</f>
        <v/>
      </c>
    </row>
    <row r="111">
      <c r="A111">
        <f>A110</f>
        <v/>
      </c>
      <c r="B111">
        <f>B110</f>
        <v/>
      </c>
      <c r="C111" t="inlineStr">
        <is>
          <t>MA</t>
        </is>
      </c>
      <c r="D111">
        <f>'Payroll Summary'!I17</f>
        <v/>
      </c>
    </row>
    <row r="112">
      <c r="A112">
        <f>A111</f>
        <v/>
      </c>
      <c r="B112">
        <f>B111</f>
        <v/>
      </c>
      <c r="C112" t="inlineStr">
        <is>
          <t>OT</t>
        </is>
      </c>
      <c r="D112">
        <f>'Payroll Summary'!E17</f>
        <v/>
      </c>
    </row>
    <row r="113">
      <c r="A113">
        <f>A112</f>
        <v/>
      </c>
      <c r="B113">
        <f>B112</f>
        <v/>
      </c>
      <c r="C113" t="inlineStr">
        <is>
          <t>RA</t>
        </is>
      </c>
      <c r="D113">
        <f>'Payroll Summary'!H17</f>
        <v/>
      </c>
    </row>
    <row r="114">
      <c r="A114">
        <f>'Payroll Summary'!B18</f>
        <v/>
      </c>
      <c r="B114">
        <f>'Payroll Summary'!A18</f>
        <v/>
      </c>
      <c r="C114" t="inlineStr">
        <is>
          <t>ANNLEAVE</t>
        </is>
      </c>
      <c r="D114">
        <f>'Payroll Summary'!J18</f>
        <v/>
      </c>
    </row>
    <row r="115">
      <c r="A115">
        <f>A114</f>
        <v/>
      </c>
      <c r="B115">
        <f>B114</f>
        <v/>
      </c>
      <c r="C115" t="inlineStr">
        <is>
          <t>NR</t>
        </is>
      </c>
      <c r="D115">
        <f>'Payroll Summary'!D18</f>
        <v/>
      </c>
    </row>
    <row r="116">
      <c r="A116">
        <f>A115</f>
        <v/>
      </c>
      <c r="B116">
        <f>B115</f>
        <v/>
      </c>
      <c r="C116" t="inlineStr">
        <is>
          <t>OT1</t>
        </is>
      </c>
      <c r="D116">
        <f>'Payroll Summary'!F18</f>
        <v/>
      </c>
    </row>
    <row r="117">
      <c r="A117">
        <f>A116</f>
        <v/>
      </c>
      <c r="B117">
        <f>B116</f>
        <v/>
      </c>
      <c r="C117" t="inlineStr">
        <is>
          <t>80125</t>
        </is>
      </c>
      <c r="D117">
        <f>'Payroll Summary'!G18</f>
        <v/>
      </c>
    </row>
    <row r="118">
      <c r="A118">
        <f>A117</f>
        <v/>
      </c>
      <c r="B118">
        <f>B117</f>
        <v/>
      </c>
      <c r="C118" t="inlineStr">
        <is>
          <t>INCENTIVE</t>
        </is>
      </c>
      <c r="D118">
        <f>'Payroll Summary'!L18</f>
        <v/>
      </c>
    </row>
    <row r="119">
      <c r="A119">
        <f>A118</f>
        <v/>
      </c>
      <c r="B119">
        <f>B118</f>
        <v/>
      </c>
      <c r="C119" t="inlineStr">
        <is>
          <t>MA</t>
        </is>
      </c>
      <c r="D119">
        <f>'Payroll Summary'!I18</f>
        <v/>
      </c>
    </row>
    <row r="120">
      <c r="A120">
        <f>A119</f>
        <v/>
      </c>
      <c r="B120">
        <f>B119</f>
        <v/>
      </c>
      <c r="C120" t="inlineStr">
        <is>
          <t>OT</t>
        </is>
      </c>
      <c r="D120">
        <f>'Payroll Summary'!E18</f>
        <v/>
      </c>
    </row>
    <row r="121">
      <c r="A121">
        <f>A120</f>
        <v/>
      </c>
      <c r="B121">
        <f>B120</f>
        <v/>
      </c>
      <c r="C121" t="inlineStr">
        <is>
          <t>RA</t>
        </is>
      </c>
      <c r="D121">
        <f>'Payroll Summary'!H18</f>
        <v/>
      </c>
    </row>
    <row r="122">
      <c r="A122">
        <f>'Payroll Summary'!B19</f>
        <v/>
      </c>
      <c r="B122">
        <f>'Payroll Summary'!A19</f>
        <v/>
      </c>
      <c r="C122" t="inlineStr">
        <is>
          <t>ANNLEAVE</t>
        </is>
      </c>
      <c r="D122">
        <f>'Payroll Summary'!J19</f>
        <v/>
      </c>
    </row>
    <row r="123">
      <c r="A123">
        <f>A122</f>
        <v/>
      </c>
      <c r="B123">
        <f>B122</f>
        <v/>
      </c>
      <c r="C123" t="inlineStr">
        <is>
          <t>NR</t>
        </is>
      </c>
      <c r="D123">
        <f>'Payroll Summary'!D19</f>
        <v/>
      </c>
    </row>
    <row r="124">
      <c r="A124">
        <f>A123</f>
        <v/>
      </c>
      <c r="B124">
        <f>B123</f>
        <v/>
      </c>
      <c r="C124" t="inlineStr">
        <is>
          <t>OT1</t>
        </is>
      </c>
      <c r="D124">
        <f>'Payroll Summary'!F19</f>
        <v/>
      </c>
    </row>
    <row r="125">
      <c r="A125">
        <f>A124</f>
        <v/>
      </c>
      <c r="B125">
        <f>B124</f>
        <v/>
      </c>
      <c r="C125" t="inlineStr">
        <is>
          <t>80125</t>
        </is>
      </c>
      <c r="D125">
        <f>'Payroll Summary'!G19</f>
        <v/>
      </c>
    </row>
    <row r="126">
      <c r="A126">
        <f>A125</f>
        <v/>
      </c>
      <c r="B126">
        <f>B125</f>
        <v/>
      </c>
      <c r="C126" t="inlineStr">
        <is>
          <t>INCENTIVE</t>
        </is>
      </c>
      <c r="D126">
        <f>'Payroll Summary'!L19</f>
        <v/>
      </c>
    </row>
    <row r="127">
      <c r="A127">
        <f>A126</f>
        <v/>
      </c>
      <c r="B127">
        <f>B126</f>
        <v/>
      </c>
      <c r="C127" t="inlineStr">
        <is>
          <t>MA</t>
        </is>
      </c>
      <c r="D127">
        <f>'Payroll Summary'!I19</f>
        <v/>
      </c>
    </row>
    <row r="128">
      <c r="A128">
        <f>A127</f>
        <v/>
      </c>
      <c r="B128">
        <f>B127</f>
        <v/>
      </c>
      <c r="C128" t="inlineStr">
        <is>
          <t>OT</t>
        </is>
      </c>
      <c r="D128">
        <f>'Payroll Summary'!E19</f>
        <v/>
      </c>
    </row>
    <row r="129">
      <c r="A129">
        <f>A128</f>
        <v/>
      </c>
      <c r="B129">
        <f>B128</f>
        <v/>
      </c>
      <c r="C129" t="inlineStr">
        <is>
          <t>RA</t>
        </is>
      </c>
      <c r="D129">
        <f>'Payroll Summary'!H19</f>
        <v/>
      </c>
    </row>
    <row r="130">
      <c r="A130">
        <f>'Payroll Summary'!B20</f>
        <v/>
      </c>
      <c r="B130">
        <f>'Payroll Summary'!A20</f>
        <v/>
      </c>
      <c r="C130" t="inlineStr">
        <is>
          <t>ANNLEAVE</t>
        </is>
      </c>
      <c r="D130">
        <f>'Payroll Summary'!J20</f>
        <v/>
      </c>
    </row>
    <row r="131">
      <c r="A131">
        <f>A130</f>
        <v/>
      </c>
      <c r="B131">
        <f>B130</f>
        <v/>
      </c>
      <c r="C131" t="inlineStr">
        <is>
          <t>NR</t>
        </is>
      </c>
      <c r="D131">
        <f>'Payroll Summary'!D20</f>
        <v/>
      </c>
    </row>
    <row r="132">
      <c r="A132">
        <f>A131</f>
        <v/>
      </c>
      <c r="B132">
        <f>B131</f>
        <v/>
      </c>
      <c r="C132" t="inlineStr">
        <is>
          <t>OT1</t>
        </is>
      </c>
      <c r="D132">
        <f>'Payroll Summary'!F20</f>
        <v/>
      </c>
    </row>
    <row r="133">
      <c r="A133">
        <f>A132</f>
        <v/>
      </c>
      <c r="B133">
        <f>B132</f>
        <v/>
      </c>
      <c r="C133" t="inlineStr">
        <is>
          <t>80125</t>
        </is>
      </c>
      <c r="D133">
        <f>'Payroll Summary'!G20</f>
        <v/>
      </c>
    </row>
    <row r="134">
      <c r="A134">
        <f>A133</f>
        <v/>
      </c>
      <c r="B134">
        <f>B133</f>
        <v/>
      </c>
      <c r="C134" t="inlineStr">
        <is>
          <t>INCENTIVE</t>
        </is>
      </c>
      <c r="D134">
        <f>'Payroll Summary'!L20</f>
        <v/>
      </c>
    </row>
    <row r="135">
      <c r="A135">
        <f>A134</f>
        <v/>
      </c>
      <c r="B135">
        <f>B134</f>
        <v/>
      </c>
      <c r="C135" t="inlineStr">
        <is>
          <t>MA</t>
        </is>
      </c>
      <c r="D135">
        <f>'Payroll Summary'!I20</f>
        <v/>
      </c>
    </row>
    <row r="136">
      <c r="A136">
        <f>A135</f>
        <v/>
      </c>
      <c r="B136">
        <f>B135</f>
        <v/>
      </c>
      <c r="C136" t="inlineStr">
        <is>
          <t>OT</t>
        </is>
      </c>
      <c r="D136">
        <f>'Payroll Summary'!E20</f>
        <v/>
      </c>
    </row>
    <row r="137">
      <c r="A137">
        <f>A136</f>
        <v/>
      </c>
      <c r="B137">
        <f>B136</f>
        <v/>
      </c>
      <c r="C137" t="inlineStr">
        <is>
          <t>RA</t>
        </is>
      </c>
      <c r="D137">
        <f>'Payroll Summary'!H20</f>
        <v/>
      </c>
    </row>
    <row r="138">
      <c r="A138">
        <f>'Payroll Summary'!B21</f>
        <v/>
      </c>
      <c r="B138">
        <f>'Payroll Summary'!A21</f>
        <v/>
      </c>
      <c r="C138" t="inlineStr">
        <is>
          <t>ANNLEAVE</t>
        </is>
      </c>
      <c r="D138">
        <f>'Payroll Summary'!J21</f>
        <v/>
      </c>
    </row>
    <row r="139">
      <c r="A139">
        <f>A138</f>
        <v/>
      </c>
      <c r="B139">
        <f>B138</f>
        <v/>
      </c>
      <c r="C139" t="inlineStr">
        <is>
          <t>NR</t>
        </is>
      </c>
      <c r="D139">
        <f>'Payroll Summary'!D21</f>
        <v/>
      </c>
    </row>
    <row r="140">
      <c r="A140">
        <f>A139</f>
        <v/>
      </c>
      <c r="B140">
        <f>B139</f>
        <v/>
      </c>
      <c r="C140" t="inlineStr">
        <is>
          <t>OT1</t>
        </is>
      </c>
      <c r="D140">
        <f>'Payroll Summary'!F21</f>
        <v/>
      </c>
    </row>
    <row r="141">
      <c r="A141">
        <f>A140</f>
        <v/>
      </c>
      <c r="B141">
        <f>B140</f>
        <v/>
      </c>
      <c r="C141" t="inlineStr">
        <is>
          <t>80125</t>
        </is>
      </c>
      <c r="D141">
        <f>'Payroll Summary'!G21</f>
        <v/>
      </c>
    </row>
    <row r="142">
      <c r="A142">
        <f>A141</f>
        <v/>
      </c>
      <c r="B142">
        <f>B141</f>
        <v/>
      </c>
      <c r="C142" t="inlineStr">
        <is>
          <t>INCENTIVE</t>
        </is>
      </c>
      <c r="D142">
        <f>'Payroll Summary'!L21</f>
        <v/>
      </c>
    </row>
    <row r="143">
      <c r="A143">
        <f>A142</f>
        <v/>
      </c>
      <c r="B143">
        <f>B142</f>
        <v/>
      </c>
      <c r="C143" t="inlineStr">
        <is>
          <t>MA</t>
        </is>
      </c>
      <c r="D143">
        <f>'Payroll Summary'!I21</f>
        <v/>
      </c>
    </row>
    <row r="144">
      <c r="A144">
        <f>A143</f>
        <v/>
      </c>
      <c r="B144">
        <f>B143</f>
        <v/>
      </c>
      <c r="C144" t="inlineStr">
        <is>
          <t>OT</t>
        </is>
      </c>
      <c r="D144">
        <f>'Payroll Summary'!E21</f>
        <v/>
      </c>
    </row>
    <row r="145">
      <c r="A145">
        <f>A144</f>
        <v/>
      </c>
      <c r="B145">
        <f>B144</f>
        <v/>
      </c>
      <c r="C145" t="inlineStr">
        <is>
          <t>RA</t>
        </is>
      </c>
      <c r="D145">
        <f>'Payroll Summary'!H21</f>
        <v/>
      </c>
    </row>
    <row r="146">
      <c r="A146">
        <f>'Payroll Summary'!B22</f>
        <v/>
      </c>
      <c r="B146">
        <f>'Payroll Summary'!A22</f>
        <v/>
      </c>
      <c r="C146" t="inlineStr">
        <is>
          <t>ANNLEAVE</t>
        </is>
      </c>
      <c r="D146">
        <f>'Payroll Summary'!J22</f>
        <v/>
      </c>
    </row>
    <row r="147">
      <c r="A147">
        <f>A146</f>
        <v/>
      </c>
      <c r="B147">
        <f>B146</f>
        <v/>
      </c>
      <c r="C147" t="inlineStr">
        <is>
          <t>NR</t>
        </is>
      </c>
      <c r="D147">
        <f>'Payroll Summary'!D22</f>
        <v/>
      </c>
    </row>
    <row r="148">
      <c r="A148">
        <f>A147</f>
        <v/>
      </c>
      <c r="B148">
        <f>B147</f>
        <v/>
      </c>
      <c r="C148" t="inlineStr">
        <is>
          <t>OT1</t>
        </is>
      </c>
      <c r="D148">
        <f>'Payroll Summary'!F22</f>
        <v/>
      </c>
    </row>
    <row r="149">
      <c r="A149">
        <f>A148</f>
        <v/>
      </c>
      <c r="B149">
        <f>B148</f>
        <v/>
      </c>
      <c r="C149" t="inlineStr">
        <is>
          <t>80125</t>
        </is>
      </c>
      <c r="D149">
        <f>'Payroll Summary'!G22</f>
        <v/>
      </c>
    </row>
    <row r="150">
      <c r="A150">
        <f>A149</f>
        <v/>
      </c>
      <c r="B150">
        <f>B149</f>
        <v/>
      </c>
      <c r="C150" t="inlineStr">
        <is>
          <t>INCENTIVE</t>
        </is>
      </c>
      <c r="D150">
        <f>'Payroll Summary'!L22</f>
        <v/>
      </c>
    </row>
    <row r="151">
      <c r="A151">
        <f>A150</f>
        <v/>
      </c>
      <c r="B151">
        <f>B150</f>
        <v/>
      </c>
      <c r="C151" t="inlineStr">
        <is>
          <t>MA</t>
        </is>
      </c>
      <c r="D151">
        <f>'Payroll Summary'!I22</f>
        <v/>
      </c>
    </row>
    <row r="152">
      <c r="A152">
        <f>A151</f>
        <v/>
      </c>
      <c r="B152">
        <f>B151</f>
        <v/>
      </c>
      <c r="C152" t="inlineStr">
        <is>
          <t>OT</t>
        </is>
      </c>
      <c r="D152">
        <f>'Payroll Summary'!E22</f>
        <v/>
      </c>
    </row>
    <row r="153">
      <c r="A153">
        <f>A152</f>
        <v/>
      </c>
      <c r="B153">
        <f>B152</f>
        <v/>
      </c>
      <c r="C153" t="inlineStr">
        <is>
          <t>RA</t>
        </is>
      </c>
      <c r="D153">
        <f>'Payroll Summary'!H22</f>
        <v/>
      </c>
    </row>
    <row r="154">
      <c r="A154">
        <f>'Payroll Summary'!B23</f>
        <v/>
      </c>
      <c r="B154">
        <f>'Payroll Summary'!A23</f>
        <v/>
      </c>
      <c r="C154" t="inlineStr">
        <is>
          <t>ANNLEAVE</t>
        </is>
      </c>
      <c r="D154">
        <f>'Payroll Summary'!J23</f>
        <v/>
      </c>
    </row>
    <row r="155">
      <c r="A155">
        <f>A154</f>
        <v/>
      </c>
      <c r="B155">
        <f>B154</f>
        <v/>
      </c>
      <c r="C155" t="inlineStr">
        <is>
          <t>NR</t>
        </is>
      </c>
      <c r="D155">
        <f>'Payroll Summary'!D23</f>
        <v/>
      </c>
    </row>
    <row r="156">
      <c r="A156">
        <f>A155</f>
        <v/>
      </c>
      <c r="B156">
        <f>B155</f>
        <v/>
      </c>
      <c r="C156" t="inlineStr">
        <is>
          <t>OT1</t>
        </is>
      </c>
      <c r="D156">
        <f>'Payroll Summary'!F23</f>
        <v/>
      </c>
    </row>
    <row r="157">
      <c r="A157">
        <f>A156</f>
        <v/>
      </c>
      <c r="B157">
        <f>B156</f>
        <v/>
      </c>
      <c r="C157" t="inlineStr">
        <is>
          <t>80125</t>
        </is>
      </c>
      <c r="D157">
        <f>'Payroll Summary'!G23</f>
        <v/>
      </c>
    </row>
    <row r="158">
      <c r="A158">
        <f>A157</f>
        <v/>
      </c>
      <c r="B158">
        <f>B157</f>
        <v/>
      </c>
      <c r="C158" t="inlineStr">
        <is>
          <t>INCENTIVE</t>
        </is>
      </c>
      <c r="D158">
        <f>'Payroll Summary'!L23</f>
        <v/>
      </c>
    </row>
    <row r="159">
      <c r="A159">
        <f>A158</f>
        <v/>
      </c>
      <c r="B159">
        <f>B158</f>
        <v/>
      </c>
      <c r="C159" t="inlineStr">
        <is>
          <t>MA</t>
        </is>
      </c>
      <c r="D159">
        <f>'Payroll Summary'!I23</f>
        <v/>
      </c>
    </row>
    <row r="160">
      <c r="A160">
        <f>A159</f>
        <v/>
      </c>
      <c r="B160">
        <f>B159</f>
        <v/>
      </c>
      <c r="C160" t="inlineStr">
        <is>
          <t>OT</t>
        </is>
      </c>
      <c r="D160">
        <f>'Payroll Summary'!E23</f>
        <v/>
      </c>
    </row>
    <row r="161">
      <c r="A161">
        <f>A160</f>
        <v/>
      </c>
      <c r="B161">
        <f>B160</f>
        <v/>
      </c>
      <c r="C161" t="inlineStr">
        <is>
          <t>RA</t>
        </is>
      </c>
      <c r="D161">
        <f>'Payroll Summary'!H23</f>
        <v/>
      </c>
    </row>
    <row r="162">
      <c r="A162">
        <f>'Payroll Summary'!B24</f>
        <v/>
      </c>
      <c r="B162">
        <f>'Payroll Summary'!A24</f>
        <v/>
      </c>
      <c r="C162" t="inlineStr">
        <is>
          <t>ANNLEAVE</t>
        </is>
      </c>
      <c r="D162">
        <f>'Payroll Summary'!J24</f>
        <v/>
      </c>
    </row>
    <row r="163">
      <c r="A163">
        <f>A162</f>
        <v/>
      </c>
      <c r="B163">
        <f>B162</f>
        <v/>
      </c>
      <c r="C163" t="inlineStr">
        <is>
          <t>NR</t>
        </is>
      </c>
      <c r="D163">
        <f>'Payroll Summary'!D24</f>
        <v/>
      </c>
    </row>
    <row r="164">
      <c r="A164">
        <f>A163</f>
        <v/>
      </c>
      <c r="B164">
        <f>B163</f>
        <v/>
      </c>
      <c r="C164" t="inlineStr">
        <is>
          <t>OT1</t>
        </is>
      </c>
      <c r="D164">
        <f>'Payroll Summary'!F24</f>
        <v/>
      </c>
    </row>
    <row r="165">
      <c r="A165">
        <f>A164</f>
        <v/>
      </c>
      <c r="B165">
        <f>B164</f>
        <v/>
      </c>
      <c r="C165" t="inlineStr">
        <is>
          <t>80125</t>
        </is>
      </c>
      <c r="D165">
        <f>'Payroll Summary'!G24</f>
        <v/>
      </c>
    </row>
    <row r="166">
      <c r="A166">
        <f>A165</f>
        <v/>
      </c>
      <c r="B166">
        <f>B165</f>
        <v/>
      </c>
      <c r="C166" t="inlineStr">
        <is>
          <t>INCENTIVE</t>
        </is>
      </c>
      <c r="D166">
        <f>'Payroll Summary'!L24</f>
        <v/>
      </c>
    </row>
    <row r="167">
      <c r="A167">
        <f>A166</f>
        <v/>
      </c>
      <c r="B167">
        <f>B166</f>
        <v/>
      </c>
      <c r="C167" t="inlineStr">
        <is>
          <t>MA</t>
        </is>
      </c>
      <c r="D167">
        <f>'Payroll Summary'!I24</f>
        <v/>
      </c>
    </row>
    <row r="168">
      <c r="A168">
        <f>A167</f>
        <v/>
      </c>
      <c r="B168">
        <f>B167</f>
        <v/>
      </c>
      <c r="C168" t="inlineStr">
        <is>
          <t>OT</t>
        </is>
      </c>
      <c r="D168">
        <f>'Payroll Summary'!E24</f>
        <v/>
      </c>
    </row>
    <row r="169">
      <c r="A169">
        <f>A168</f>
        <v/>
      </c>
      <c r="B169">
        <f>B168</f>
        <v/>
      </c>
      <c r="C169" t="inlineStr">
        <is>
          <t>RA</t>
        </is>
      </c>
      <c r="D169">
        <f>'Payroll Summary'!H24</f>
        <v/>
      </c>
    </row>
    <row r="170">
      <c r="A170">
        <f>'Payroll Summary'!B25</f>
        <v/>
      </c>
      <c r="B170">
        <f>'Payroll Summary'!A25</f>
        <v/>
      </c>
      <c r="C170" t="inlineStr">
        <is>
          <t>ANNLEAVE</t>
        </is>
      </c>
      <c r="D170">
        <f>'Payroll Summary'!J25</f>
        <v/>
      </c>
    </row>
    <row r="171">
      <c r="A171">
        <f>A170</f>
        <v/>
      </c>
      <c r="B171">
        <f>B170</f>
        <v/>
      </c>
      <c r="C171" t="inlineStr">
        <is>
          <t>NR</t>
        </is>
      </c>
      <c r="D171">
        <f>'Payroll Summary'!D25</f>
        <v/>
      </c>
    </row>
    <row r="172">
      <c r="A172">
        <f>A171</f>
        <v/>
      </c>
      <c r="B172">
        <f>B171</f>
        <v/>
      </c>
      <c r="C172" t="inlineStr">
        <is>
          <t>OT1</t>
        </is>
      </c>
      <c r="D172">
        <f>'Payroll Summary'!F25</f>
        <v/>
      </c>
    </row>
    <row r="173">
      <c r="A173">
        <f>A172</f>
        <v/>
      </c>
      <c r="B173">
        <f>B172</f>
        <v/>
      </c>
      <c r="C173" t="inlineStr">
        <is>
          <t>80125</t>
        </is>
      </c>
      <c r="D173">
        <f>'Payroll Summary'!G25</f>
        <v/>
      </c>
    </row>
    <row r="174">
      <c r="A174">
        <f>A173</f>
        <v/>
      </c>
      <c r="B174">
        <f>B173</f>
        <v/>
      </c>
      <c r="C174" t="inlineStr">
        <is>
          <t>INCENTIVE</t>
        </is>
      </c>
      <c r="D174">
        <f>'Payroll Summary'!L25</f>
        <v/>
      </c>
    </row>
    <row r="175">
      <c r="A175">
        <f>A174</f>
        <v/>
      </c>
      <c r="B175">
        <f>B174</f>
        <v/>
      </c>
      <c r="C175" t="inlineStr">
        <is>
          <t>MA</t>
        </is>
      </c>
      <c r="D175">
        <f>'Payroll Summary'!I25</f>
        <v/>
      </c>
    </row>
    <row r="176">
      <c r="A176">
        <f>A175</f>
        <v/>
      </c>
      <c r="B176">
        <f>B175</f>
        <v/>
      </c>
      <c r="C176" t="inlineStr">
        <is>
          <t>OT</t>
        </is>
      </c>
      <c r="D176">
        <f>'Payroll Summary'!E25</f>
        <v/>
      </c>
    </row>
    <row r="177">
      <c r="A177">
        <f>A176</f>
        <v/>
      </c>
      <c r="B177">
        <f>B176</f>
        <v/>
      </c>
      <c r="C177" t="inlineStr">
        <is>
          <t>RA</t>
        </is>
      </c>
      <c r="D177">
        <f>'Payroll Summary'!H25</f>
        <v/>
      </c>
    </row>
    <row r="178">
      <c r="A178">
        <f>'Payroll Summary'!B26</f>
        <v/>
      </c>
      <c r="B178">
        <f>'Payroll Summary'!A26</f>
        <v/>
      </c>
      <c r="C178" t="inlineStr">
        <is>
          <t>ANNLEAVE</t>
        </is>
      </c>
      <c r="D178">
        <f>'Payroll Summary'!J26</f>
        <v/>
      </c>
    </row>
    <row r="179">
      <c r="A179">
        <f>A178</f>
        <v/>
      </c>
      <c r="B179">
        <f>B178</f>
        <v/>
      </c>
      <c r="C179" t="inlineStr">
        <is>
          <t>NR</t>
        </is>
      </c>
      <c r="D179">
        <f>'Payroll Summary'!D26</f>
        <v/>
      </c>
    </row>
    <row r="180">
      <c r="A180">
        <f>A179</f>
        <v/>
      </c>
      <c r="B180">
        <f>B179</f>
        <v/>
      </c>
      <c r="C180" t="inlineStr">
        <is>
          <t>OT1</t>
        </is>
      </c>
      <c r="D180">
        <f>'Payroll Summary'!F26</f>
        <v/>
      </c>
    </row>
    <row r="181">
      <c r="A181">
        <f>A180</f>
        <v/>
      </c>
      <c r="B181">
        <f>B180</f>
        <v/>
      </c>
      <c r="C181" t="inlineStr">
        <is>
          <t>80125</t>
        </is>
      </c>
      <c r="D181">
        <f>'Payroll Summary'!G26</f>
        <v/>
      </c>
    </row>
    <row r="182">
      <c r="A182">
        <f>A181</f>
        <v/>
      </c>
      <c r="B182">
        <f>B181</f>
        <v/>
      </c>
      <c r="C182" t="inlineStr">
        <is>
          <t>INCENTIVE</t>
        </is>
      </c>
      <c r="D182">
        <f>'Payroll Summary'!L26</f>
        <v/>
      </c>
    </row>
    <row r="183">
      <c r="A183">
        <f>A182</f>
        <v/>
      </c>
      <c r="B183">
        <f>B182</f>
        <v/>
      </c>
      <c r="C183" t="inlineStr">
        <is>
          <t>MA</t>
        </is>
      </c>
      <c r="D183">
        <f>'Payroll Summary'!I26</f>
        <v/>
      </c>
    </row>
    <row r="184">
      <c r="A184">
        <f>A183</f>
        <v/>
      </c>
      <c r="B184">
        <f>B183</f>
        <v/>
      </c>
      <c r="C184" t="inlineStr">
        <is>
          <t>OT</t>
        </is>
      </c>
      <c r="D184">
        <f>'Payroll Summary'!E26</f>
        <v/>
      </c>
    </row>
    <row r="185">
      <c r="A185">
        <f>A184</f>
        <v/>
      </c>
      <c r="B185">
        <f>B184</f>
        <v/>
      </c>
      <c r="C185" t="inlineStr">
        <is>
          <t>RA</t>
        </is>
      </c>
      <c r="D185">
        <f>'Payroll Summary'!H26</f>
        <v/>
      </c>
    </row>
    <row r="186">
      <c r="A186">
        <f>'Payroll Summary'!B27</f>
        <v/>
      </c>
      <c r="B186">
        <f>'Payroll Summary'!A27</f>
        <v/>
      </c>
      <c r="C186" t="inlineStr">
        <is>
          <t>ANNLEAVE</t>
        </is>
      </c>
      <c r="D186">
        <f>'Payroll Summary'!J27</f>
        <v/>
      </c>
    </row>
    <row r="187">
      <c r="A187">
        <f>A186</f>
        <v/>
      </c>
      <c r="B187">
        <f>B186</f>
        <v/>
      </c>
      <c r="C187" t="inlineStr">
        <is>
          <t>NR</t>
        </is>
      </c>
      <c r="D187">
        <f>'Payroll Summary'!D27</f>
        <v/>
      </c>
    </row>
    <row r="188">
      <c r="A188">
        <f>A187</f>
        <v/>
      </c>
      <c r="B188">
        <f>B187</f>
        <v/>
      </c>
      <c r="C188" t="inlineStr">
        <is>
          <t>OT1</t>
        </is>
      </c>
      <c r="D188">
        <f>'Payroll Summary'!F27</f>
        <v/>
      </c>
    </row>
    <row r="189">
      <c r="A189">
        <f>A188</f>
        <v/>
      </c>
      <c r="B189">
        <f>B188</f>
        <v/>
      </c>
      <c r="C189" t="inlineStr">
        <is>
          <t>80125</t>
        </is>
      </c>
      <c r="D189">
        <f>'Payroll Summary'!G27</f>
        <v/>
      </c>
    </row>
    <row r="190">
      <c r="A190">
        <f>A189</f>
        <v/>
      </c>
      <c r="B190">
        <f>B189</f>
        <v/>
      </c>
      <c r="C190" t="inlineStr">
        <is>
          <t>INCENTIVE</t>
        </is>
      </c>
      <c r="D190">
        <f>'Payroll Summary'!L27</f>
        <v/>
      </c>
    </row>
    <row r="191">
      <c r="A191">
        <f>A190</f>
        <v/>
      </c>
      <c r="B191">
        <f>B190</f>
        <v/>
      </c>
      <c r="C191" t="inlineStr">
        <is>
          <t>MA</t>
        </is>
      </c>
      <c r="D191">
        <f>'Payroll Summary'!I27</f>
        <v/>
      </c>
    </row>
    <row r="192">
      <c r="A192">
        <f>A191</f>
        <v/>
      </c>
      <c r="B192">
        <f>B191</f>
        <v/>
      </c>
      <c r="C192" t="inlineStr">
        <is>
          <t>OT</t>
        </is>
      </c>
      <c r="D192">
        <f>'Payroll Summary'!E27</f>
        <v/>
      </c>
    </row>
    <row r="193">
      <c r="A193">
        <f>A192</f>
        <v/>
      </c>
      <c r="B193">
        <f>B192</f>
        <v/>
      </c>
      <c r="C193" t="inlineStr">
        <is>
          <t>RA</t>
        </is>
      </c>
      <c r="D193">
        <f>'Payroll Summary'!H27</f>
        <v/>
      </c>
    </row>
    <row r="194">
      <c r="A194">
        <f>'Payroll Summary'!B28</f>
        <v/>
      </c>
      <c r="B194">
        <f>'Payroll Summary'!A28</f>
        <v/>
      </c>
      <c r="C194" t="inlineStr">
        <is>
          <t>ANNLEAVE</t>
        </is>
      </c>
      <c r="D194">
        <f>'Payroll Summary'!J28</f>
        <v/>
      </c>
    </row>
    <row r="195">
      <c r="A195">
        <f>A194</f>
        <v/>
      </c>
      <c r="B195">
        <f>B194</f>
        <v/>
      </c>
      <c r="C195" t="inlineStr">
        <is>
          <t>NR</t>
        </is>
      </c>
      <c r="D195">
        <f>'Payroll Summary'!D28</f>
        <v/>
      </c>
    </row>
    <row r="196">
      <c r="A196">
        <f>A195</f>
        <v/>
      </c>
      <c r="B196">
        <f>B195</f>
        <v/>
      </c>
      <c r="C196" t="inlineStr">
        <is>
          <t>OT1</t>
        </is>
      </c>
      <c r="D196">
        <f>'Payroll Summary'!F28</f>
        <v/>
      </c>
    </row>
    <row r="197">
      <c r="A197">
        <f>A196</f>
        <v/>
      </c>
      <c r="B197">
        <f>B196</f>
        <v/>
      </c>
      <c r="C197" t="inlineStr">
        <is>
          <t>80125</t>
        </is>
      </c>
      <c r="D197">
        <f>'Payroll Summary'!G28</f>
        <v/>
      </c>
    </row>
    <row r="198">
      <c r="A198">
        <f>A197</f>
        <v/>
      </c>
      <c r="B198">
        <f>B197</f>
        <v/>
      </c>
      <c r="C198" t="inlineStr">
        <is>
          <t>INCENTIVE</t>
        </is>
      </c>
      <c r="D198">
        <f>'Payroll Summary'!L28</f>
        <v/>
      </c>
    </row>
    <row r="199">
      <c r="A199">
        <f>A198</f>
        <v/>
      </c>
      <c r="B199">
        <f>B198</f>
        <v/>
      </c>
      <c r="C199" t="inlineStr">
        <is>
          <t>MA</t>
        </is>
      </c>
      <c r="D199">
        <f>'Payroll Summary'!I28</f>
        <v/>
      </c>
    </row>
    <row r="200">
      <c r="A200">
        <f>A199</f>
        <v/>
      </c>
      <c r="B200">
        <f>B199</f>
        <v/>
      </c>
      <c r="C200" t="inlineStr">
        <is>
          <t>OT</t>
        </is>
      </c>
      <c r="D200">
        <f>'Payroll Summary'!E28</f>
        <v/>
      </c>
    </row>
    <row r="201">
      <c r="A201">
        <f>A200</f>
        <v/>
      </c>
      <c r="B201">
        <f>B200</f>
        <v/>
      </c>
      <c r="C201" t="inlineStr">
        <is>
          <t>RA</t>
        </is>
      </c>
      <c r="D201">
        <f>'Payroll Summary'!H28</f>
        <v/>
      </c>
    </row>
    <row r="202">
      <c r="A202">
        <f>'Payroll Summary'!B29</f>
        <v/>
      </c>
      <c r="B202">
        <f>'Payroll Summary'!A29</f>
        <v/>
      </c>
      <c r="C202" t="inlineStr">
        <is>
          <t>ANNLEAVE</t>
        </is>
      </c>
      <c r="D202">
        <f>'Payroll Summary'!J29</f>
        <v/>
      </c>
    </row>
    <row r="203">
      <c r="A203">
        <f>A202</f>
        <v/>
      </c>
      <c r="B203">
        <f>B202</f>
        <v/>
      </c>
      <c r="C203" t="inlineStr">
        <is>
          <t>NR</t>
        </is>
      </c>
      <c r="D203">
        <f>'Payroll Summary'!D29</f>
        <v/>
      </c>
    </row>
    <row r="204">
      <c r="A204">
        <f>A203</f>
        <v/>
      </c>
      <c r="B204">
        <f>B203</f>
        <v/>
      </c>
      <c r="C204" t="inlineStr">
        <is>
          <t>OT1</t>
        </is>
      </c>
      <c r="D204">
        <f>'Payroll Summary'!F29</f>
        <v/>
      </c>
    </row>
    <row r="205">
      <c r="A205">
        <f>A204</f>
        <v/>
      </c>
      <c r="B205">
        <f>B204</f>
        <v/>
      </c>
      <c r="C205" t="inlineStr">
        <is>
          <t>80125</t>
        </is>
      </c>
      <c r="D205">
        <f>'Payroll Summary'!G29</f>
        <v/>
      </c>
    </row>
    <row r="206">
      <c r="A206">
        <f>A205</f>
        <v/>
      </c>
      <c r="B206">
        <f>B205</f>
        <v/>
      </c>
      <c r="C206" t="inlineStr">
        <is>
          <t>INCENTIVE</t>
        </is>
      </c>
      <c r="D206">
        <f>'Payroll Summary'!L29</f>
        <v/>
      </c>
    </row>
    <row r="207">
      <c r="A207">
        <f>A206</f>
        <v/>
      </c>
      <c r="B207">
        <f>B206</f>
        <v/>
      </c>
      <c r="C207" t="inlineStr">
        <is>
          <t>MA</t>
        </is>
      </c>
      <c r="D207">
        <f>'Payroll Summary'!I29</f>
        <v/>
      </c>
    </row>
    <row r="208">
      <c r="A208">
        <f>A207</f>
        <v/>
      </c>
      <c r="B208">
        <f>B207</f>
        <v/>
      </c>
      <c r="C208" t="inlineStr">
        <is>
          <t>OT</t>
        </is>
      </c>
      <c r="D208">
        <f>'Payroll Summary'!E29</f>
        <v/>
      </c>
    </row>
    <row r="209">
      <c r="A209">
        <f>A208</f>
        <v/>
      </c>
      <c r="B209">
        <f>B208</f>
        <v/>
      </c>
      <c r="C209" t="inlineStr">
        <is>
          <t>RA</t>
        </is>
      </c>
      <c r="D209">
        <f>'Payroll Summary'!H29</f>
        <v/>
      </c>
    </row>
    <row r="210">
      <c r="A210">
        <f>'Payroll Summary'!B30</f>
        <v/>
      </c>
      <c r="B210">
        <f>'Payroll Summary'!A30</f>
        <v/>
      </c>
      <c r="C210" t="inlineStr">
        <is>
          <t>ANNLEAVE</t>
        </is>
      </c>
      <c r="D210">
        <f>'Payroll Summary'!J30</f>
        <v/>
      </c>
    </row>
    <row r="211">
      <c r="A211">
        <f>A210</f>
        <v/>
      </c>
      <c r="B211">
        <f>B210</f>
        <v/>
      </c>
      <c r="C211" t="inlineStr">
        <is>
          <t>NR</t>
        </is>
      </c>
      <c r="D211">
        <f>'Payroll Summary'!D30</f>
        <v/>
      </c>
    </row>
    <row r="212">
      <c r="A212">
        <f>A211</f>
        <v/>
      </c>
      <c r="B212">
        <f>B211</f>
        <v/>
      </c>
      <c r="C212" t="inlineStr">
        <is>
          <t>OT1</t>
        </is>
      </c>
      <c r="D212">
        <f>'Payroll Summary'!F30</f>
        <v/>
      </c>
    </row>
    <row r="213">
      <c r="A213">
        <f>A212</f>
        <v/>
      </c>
      <c r="B213">
        <f>B212</f>
        <v/>
      </c>
      <c r="C213" t="inlineStr">
        <is>
          <t>80125</t>
        </is>
      </c>
      <c r="D213">
        <f>'Payroll Summary'!G30</f>
        <v/>
      </c>
    </row>
    <row r="214">
      <c r="A214">
        <f>A213</f>
        <v/>
      </c>
      <c r="B214">
        <f>B213</f>
        <v/>
      </c>
      <c r="C214" t="inlineStr">
        <is>
          <t>INCENTIVE</t>
        </is>
      </c>
      <c r="D214">
        <f>'Payroll Summary'!L30</f>
        <v/>
      </c>
    </row>
    <row r="215">
      <c r="A215">
        <f>A214</f>
        <v/>
      </c>
      <c r="B215">
        <f>B214</f>
        <v/>
      </c>
      <c r="C215" t="inlineStr">
        <is>
          <t>MA</t>
        </is>
      </c>
      <c r="D215">
        <f>'Payroll Summary'!I30</f>
        <v/>
      </c>
    </row>
    <row r="216">
      <c r="A216">
        <f>A215</f>
        <v/>
      </c>
      <c r="B216">
        <f>B215</f>
        <v/>
      </c>
      <c r="C216" t="inlineStr">
        <is>
          <t>OT</t>
        </is>
      </c>
      <c r="D216">
        <f>'Payroll Summary'!E30</f>
        <v/>
      </c>
    </row>
    <row r="217">
      <c r="A217">
        <f>A216</f>
        <v/>
      </c>
      <c r="B217">
        <f>B216</f>
        <v/>
      </c>
      <c r="C217" t="inlineStr">
        <is>
          <t>RA</t>
        </is>
      </c>
      <c r="D217">
        <f>'Payroll Summary'!H30</f>
        <v/>
      </c>
    </row>
    <row r="218">
      <c r="A218">
        <f>'Payroll Summary'!B31</f>
        <v/>
      </c>
      <c r="B218">
        <f>'Payroll Summary'!A31</f>
        <v/>
      </c>
      <c r="C218" t="inlineStr">
        <is>
          <t>ANNLEAVE</t>
        </is>
      </c>
      <c r="D218">
        <f>'Payroll Summary'!J31</f>
        <v/>
      </c>
    </row>
    <row r="219">
      <c r="A219">
        <f>A218</f>
        <v/>
      </c>
      <c r="B219">
        <f>B218</f>
        <v/>
      </c>
      <c r="C219" t="inlineStr">
        <is>
          <t>NR</t>
        </is>
      </c>
      <c r="D219">
        <f>'Payroll Summary'!D31</f>
        <v/>
      </c>
    </row>
    <row r="220">
      <c r="A220">
        <f>A219</f>
        <v/>
      </c>
      <c r="B220">
        <f>B219</f>
        <v/>
      </c>
      <c r="C220" t="inlineStr">
        <is>
          <t>OT1</t>
        </is>
      </c>
      <c r="D220">
        <f>'Payroll Summary'!F31</f>
        <v/>
      </c>
    </row>
    <row r="221">
      <c r="A221">
        <f>A220</f>
        <v/>
      </c>
      <c r="B221">
        <f>B220</f>
        <v/>
      </c>
      <c r="C221" t="inlineStr">
        <is>
          <t>80125</t>
        </is>
      </c>
      <c r="D221">
        <f>'Payroll Summary'!G31</f>
        <v/>
      </c>
    </row>
    <row r="222">
      <c r="A222">
        <f>A221</f>
        <v/>
      </c>
      <c r="B222">
        <f>B221</f>
        <v/>
      </c>
      <c r="C222" t="inlineStr">
        <is>
          <t>INCENTIVE</t>
        </is>
      </c>
      <c r="D222">
        <f>'Payroll Summary'!L31</f>
        <v/>
      </c>
    </row>
    <row r="223">
      <c r="A223">
        <f>A222</f>
        <v/>
      </c>
      <c r="B223">
        <f>B222</f>
        <v/>
      </c>
      <c r="C223" t="inlineStr">
        <is>
          <t>MA</t>
        </is>
      </c>
      <c r="D223">
        <f>'Payroll Summary'!I31</f>
        <v/>
      </c>
    </row>
    <row r="224">
      <c r="A224">
        <f>A223</f>
        <v/>
      </c>
      <c r="B224">
        <f>B223</f>
        <v/>
      </c>
      <c r="C224" t="inlineStr">
        <is>
          <t>OT</t>
        </is>
      </c>
      <c r="D224">
        <f>'Payroll Summary'!E31</f>
        <v/>
      </c>
    </row>
    <row r="225">
      <c r="A225">
        <f>A224</f>
        <v/>
      </c>
      <c r="B225">
        <f>B224</f>
        <v/>
      </c>
      <c r="C225" t="inlineStr">
        <is>
          <t>RA</t>
        </is>
      </c>
      <c r="D225">
        <f>'Payroll Summary'!H31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3.5"/>
  <cols>
    <col width="14" customWidth="1" min="1" max="6"/>
    <col width="18" customWidth="1" min="7" max="7"/>
    <col width="14" customWidth="1" min="8" max="9"/>
    <col width="18" customWidth="1" min="10" max="11"/>
  </cols>
  <sheetData>
    <row r="1" ht="24" customHeight="1">
      <c r="A1" s="316" t="inlineStr">
        <is>
          <t>Master Payroll Summary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7" t="n"/>
      <c r="P1" s="317" t="n"/>
    </row>
    <row r="2">
      <c r="A2" s="317" t="n"/>
      <c r="B2" s="317" t="n"/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7" t="n"/>
    </row>
    <row r="3">
      <c r="A3" s="156" t="inlineStr">
        <is>
          <t>Name</t>
        </is>
      </c>
      <c r="B3" s="156" t="inlineStr">
        <is>
          <t>Number</t>
        </is>
      </c>
      <c r="C3" s="156" t="inlineStr">
        <is>
          <t>Agency</t>
        </is>
      </c>
      <c r="D3" s="156" t="inlineStr">
        <is>
          <t>Basic Hrs</t>
        </is>
      </c>
      <c r="E3" s="156" t="inlineStr">
        <is>
          <t>Overtime Hrs</t>
        </is>
      </c>
      <c r="F3" s="156" t="inlineStr">
        <is>
          <t>Hol Hrs</t>
        </is>
      </c>
      <c r="G3" s="156" t="inlineStr">
        <is>
          <t>Responsibilities</t>
        </is>
      </c>
      <c r="H3" s="156" t="inlineStr">
        <is>
          <t>Risk</t>
        </is>
      </c>
      <c r="I3" s="156" t="inlineStr">
        <is>
          <t>Meals</t>
        </is>
      </c>
      <c r="J3" s="156" t="inlineStr">
        <is>
          <t>Annual Leave Hrs</t>
        </is>
      </c>
      <c r="K3" s="156" t="inlineStr">
        <is>
          <t>Days Worked</t>
        </is>
      </c>
      <c r="L3" s="317" t="inlineStr">
        <is>
          <t>Incentive</t>
        </is>
      </c>
      <c r="M3" s="317" t="n"/>
      <c r="N3" s="317" t="n"/>
      <c r="O3" s="317" t="n"/>
      <c r="P3" s="317" t="n"/>
    </row>
    <row r="4">
      <c r="A4" s="154">
        <f>'Nelson, Keshia'!M5</f>
        <v/>
      </c>
      <c r="B4" s="154">
        <f>'Nelson, Keshia'!M4</f>
        <v/>
      </c>
      <c r="C4" s="154">
        <f>'Nelson, Keshia'!O7</f>
        <v/>
      </c>
      <c r="D4" s="154">
        <f>'Nelson, Keshia'!M49</f>
        <v/>
      </c>
      <c r="E4" s="154">
        <f>'Nelson, Keshia'!N49</f>
        <v/>
      </c>
      <c r="F4" s="154">
        <f>'Nelson, Keshia'!O49</f>
        <v/>
      </c>
      <c r="G4" s="154">
        <f>'Nelson, Keshia'!P49</f>
        <v/>
      </c>
      <c r="H4" s="154">
        <f>'Nelson, Keshia'!Q49</f>
        <v/>
      </c>
      <c r="I4" s="154">
        <f>'Nelson, Keshia'!R49</f>
        <v/>
      </c>
      <c r="J4" s="154">
        <f>'Nelson, Keshia'!S49</f>
        <v/>
      </c>
      <c r="K4" s="154">
        <f>'Nelson, Keshia'!Q50</f>
        <v/>
      </c>
      <c r="L4" s="317" t="n"/>
      <c r="M4" s="317" t="n"/>
      <c r="N4" s="317" t="n"/>
      <c r="O4" s="317" t="n"/>
      <c r="P4" s="317" t="n"/>
    </row>
    <row r="5">
      <c r="A5" s="154">
        <f>'Abel, Natalie'!M5</f>
        <v/>
      </c>
      <c r="B5" s="154">
        <f>'Abel, Natalie'!M4</f>
        <v/>
      </c>
      <c r="C5" s="154">
        <f>'Abel, Natalie'!O7</f>
        <v/>
      </c>
      <c r="D5" s="154">
        <f>'Abel, Natalie'!M49</f>
        <v/>
      </c>
      <c r="E5" s="154">
        <f>'Abel, Natalie'!N49</f>
        <v/>
      </c>
      <c r="F5" s="154">
        <f>'Abel, Natalie'!O49</f>
        <v/>
      </c>
      <c r="G5" s="154">
        <f>'Abel, Natalie'!P49</f>
        <v/>
      </c>
      <c r="H5" s="154">
        <f>'Abel, Natalie'!Q49</f>
        <v/>
      </c>
      <c r="I5" s="154">
        <f>'Abel, Natalie'!R49</f>
        <v/>
      </c>
      <c r="J5" s="154">
        <f>'Abel, Natalie'!S49</f>
        <v/>
      </c>
      <c r="K5" s="154">
        <f>'Abel, Natalie'!Q50</f>
        <v/>
      </c>
      <c r="L5" s="317" t="n"/>
      <c r="M5" s="317" t="n"/>
      <c r="N5" s="317" t="n"/>
      <c r="O5" s="317" t="n"/>
      <c r="P5" s="317" t="n"/>
    </row>
    <row r="6">
      <c r="A6" s="154">
        <f>'April, Candica'!M5</f>
        <v/>
      </c>
      <c r="B6" s="154">
        <f>'April, Candica'!M4</f>
        <v/>
      </c>
      <c r="C6" s="154">
        <f>'April, Candica'!O7</f>
        <v/>
      </c>
      <c r="D6" s="154">
        <f>'April, Candica'!M49</f>
        <v/>
      </c>
      <c r="E6" s="154">
        <f>'April, Candica'!N49</f>
        <v/>
      </c>
      <c r="F6" s="154">
        <f>'April, Candica'!O49</f>
        <v/>
      </c>
      <c r="G6" s="154">
        <f>'April, Candica'!P49</f>
        <v/>
      </c>
      <c r="H6" s="154">
        <f>'April, Candica'!Q49</f>
        <v/>
      </c>
      <c r="I6" s="154">
        <f>'April, Candica'!R49</f>
        <v/>
      </c>
      <c r="J6" s="154">
        <f>'April, Candica'!S49</f>
        <v/>
      </c>
      <c r="K6" s="154">
        <f>'April, Candica'!Q50</f>
        <v/>
      </c>
      <c r="L6" s="317" t="n"/>
      <c r="M6" s="317" t="n"/>
      <c r="N6" s="317" t="n"/>
      <c r="O6" s="317" t="n"/>
      <c r="P6" s="317" t="n"/>
    </row>
    <row r="7">
      <c r="A7" s="154">
        <f>'Beharry, Akeela'!M5</f>
        <v/>
      </c>
      <c r="B7" s="154">
        <f>'Beharry, Akeela'!M4</f>
        <v/>
      </c>
      <c r="C7" s="154">
        <f>'Beharry, Akeela'!O7</f>
        <v/>
      </c>
      <c r="D7" s="154">
        <f>'Beharry, Akeela'!M49</f>
        <v/>
      </c>
      <c r="E7" s="154">
        <f>'Beharry, Akeela'!N49</f>
        <v/>
      </c>
      <c r="F7" s="154">
        <f>'Beharry, Akeela'!O49</f>
        <v/>
      </c>
      <c r="G7" s="154">
        <f>'Beharry, Akeela'!P49</f>
        <v/>
      </c>
      <c r="H7" s="154">
        <f>'Beharry, Akeela'!Q49</f>
        <v/>
      </c>
      <c r="I7" s="154">
        <f>'Beharry, Akeela'!R49</f>
        <v/>
      </c>
      <c r="J7" s="154">
        <f>'Beharry, Akeela'!S49</f>
        <v/>
      </c>
      <c r="K7" s="154">
        <f>'Beharry, Akeela'!Q50</f>
        <v/>
      </c>
      <c r="L7" s="317" t="n"/>
      <c r="M7" s="317" t="n"/>
      <c r="N7" s="317" t="n"/>
      <c r="O7" s="317" t="n"/>
      <c r="P7" s="317" t="n"/>
    </row>
    <row r="8">
      <c r="A8" s="154">
        <f>'Charles, Maisha'!M5</f>
        <v/>
      </c>
      <c r="B8" s="154">
        <f>'Charles, Maisha'!M4</f>
        <v/>
      </c>
      <c r="C8" s="154">
        <f>'Charles, Maisha'!O7</f>
        <v/>
      </c>
      <c r="D8" s="154">
        <f>'Charles, Maisha'!M49</f>
        <v/>
      </c>
      <c r="E8" s="154">
        <f>'Charles, Maisha'!N49</f>
        <v/>
      </c>
      <c r="F8" s="154">
        <f>'Charles, Maisha'!O49</f>
        <v/>
      </c>
      <c r="G8" s="154">
        <f>'Charles, Maisha'!P49</f>
        <v/>
      </c>
      <c r="H8" s="154">
        <f>'Charles, Maisha'!Q49</f>
        <v/>
      </c>
      <c r="I8" s="154">
        <f>'Charles, Maisha'!R49</f>
        <v/>
      </c>
      <c r="J8" s="154">
        <f>'Charles, Maisha'!S49</f>
        <v/>
      </c>
      <c r="K8" s="154">
        <f>'Charles, Maisha'!Q50</f>
        <v/>
      </c>
      <c r="L8" s="317" t="n"/>
      <c r="M8" s="317" t="n"/>
      <c r="N8" s="317" t="n"/>
      <c r="O8" s="317" t="n"/>
      <c r="P8" s="317" t="n"/>
    </row>
    <row r="9">
      <c r="A9" s="154">
        <f>'Eastman, Dennis'!M5</f>
        <v/>
      </c>
      <c r="B9" s="154">
        <f>'Eastman, Dennis'!M4</f>
        <v/>
      </c>
      <c r="C9" s="154">
        <f>'Eastman, Dennis'!O7</f>
        <v/>
      </c>
      <c r="D9" s="154">
        <f>'Eastman, Dennis'!M49</f>
        <v/>
      </c>
      <c r="E9" s="154">
        <f>'Eastman, Dennis'!N49</f>
        <v/>
      </c>
      <c r="F9" s="154">
        <f>'Eastman, Dennis'!O49</f>
        <v/>
      </c>
      <c r="G9" s="154">
        <f>'Eastman, Dennis'!P49</f>
        <v/>
      </c>
      <c r="H9" s="154">
        <f>'Eastman, Dennis'!Q49</f>
        <v/>
      </c>
      <c r="I9" s="154">
        <f>'Eastman, Dennis'!R49</f>
        <v/>
      </c>
      <c r="J9" s="154">
        <f>'Eastman, Dennis'!S49</f>
        <v/>
      </c>
      <c r="K9" s="154">
        <f>'Eastman, Dennis'!Q50</f>
        <v/>
      </c>
      <c r="L9" s="317" t="n"/>
      <c r="M9" s="317" t="n"/>
      <c r="N9" s="317" t="n"/>
      <c r="O9" s="317" t="n"/>
      <c r="P9" s="317" t="n"/>
    </row>
    <row r="10">
      <c r="A10" s="154">
        <f>'Eastman, Dorritte'!M5</f>
        <v/>
      </c>
      <c r="B10" s="154">
        <f>'Eastman, Dorritte'!M4</f>
        <v/>
      </c>
      <c r="C10" s="154">
        <f>'Eastman, Dorritte'!O7</f>
        <v/>
      </c>
      <c r="D10" s="154">
        <f>'Eastman, Dorritte'!M49</f>
        <v/>
      </c>
      <c r="E10" s="154">
        <f>'Eastman, Dorritte'!N49</f>
        <v/>
      </c>
      <c r="F10" s="154">
        <f>'Eastman, Dorritte'!O49</f>
        <v/>
      </c>
      <c r="G10" s="154">
        <f>'Eastman, Dorritte'!P49</f>
        <v/>
      </c>
      <c r="H10" s="154">
        <f>'Eastman, Dorritte'!Q49</f>
        <v/>
      </c>
      <c r="I10" s="154">
        <f>'Eastman, Dorritte'!R49</f>
        <v/>
      </c>
      <c r="J10" s="154">
        <f>'Eastman, Dorritte'!S49</f>
        <v/>
      </c>
      <c r="K10" s="154">
        <f>'Eastman, Dorritte'!Q50</f>
        <v/>
      </c>
      <c r="L10" s="317" t="n"/>
      <c r="M10" s="317" t="n"/>
      <c r="N10" s="317" t="n"/>
      <c r="O10" s="317" t="n"/>
      <c r="P10" s="317" t="n"/>
    </row>
    <row r="11">
      <c r="A11" s="154">
        <f>'Hector, Aaliyah'!M5</f>
        <v/>
      </c>
      <c r="B11" s="154">
        <f>'Hector, Aaliyah'!M4</f>
        <v/>
      </c>
      <c r="C11" s="154">
        <f>'Hector, Aaliyah'!O7</f>
        <v/>
      </c>
      <c r="D11" s="154">
        <f>'Hector, Aaliyah'!M49</f>
        <v/>
      </c>
      <c r="E11" s="154">
        <f>'Hector, Aaliyah'!N49</f>
        <v/>
      </c>
      <c r="F11" s="154">
        <f>'Hector, Aaliyah'!O49</f>
        <v/>
      </c>
      <c r="G11" s="154">
        <f>'Hector, Aaliyah'!P49</f>
        <v/>
      </c>
      <c r="H11" s="154">
        <f>'Hector, Aaliyah'!Q49</f>
        <v/>
      </c>
      <c r="I11" s="154">
        <f>'Hector, Aaliyah'!R49</f>
        <v/>
      </c>
      <c r="J11" s="154">
        <f>'Hector, Aaliyah'!S49</f>
        <v/>
      </c>
      <c r="K11" s="154">
        <f>'Hector, Aaliyah'!Q50</f>
        <v/>
      </c>
      <c r="L11" s="317" t="n"/>
      <c r="M11" s="317" t="n"/>
      <c r="N11" s="317" t="n"/>
      <c r="O11" s="317" t="n"/>
      <c r="P11" s="317" t="n"/>
    </row>
    <row r="12">
      <c r="A12" s="154">
        <f>'Hector, Onicka'!M5</f>
        <v/>
      </c>
      <c r="B12" s="154">
        <f>'Hector, Onicka'!M4</f>
        <v/>
      </c>
      <c r="C12" s="154">
        <f>'Hector, Onicka'!O7</f>
        <v/>
      </c>
      <c r="D12" s="154">
        <f>'Hector, Onicka'!M49</f>
        <v/>
      </c>
      <c r="E12" s="154">
        <f>'Hector, Onicka'!N49</f>
        <v/>
      </c>
      <c r="F12" s="154">
        <f>'Hector, Onicka'!O49</f>
        <v/>
      </c>
      <c r="G12" s="154">
        <f>'Hector, Onicka'!P49</f>
        <v/>
      </c>
      <c r="H12" s="154">
        <f>'Hector, Onicka'!Q49</f>
        <v/>
      </c>
      <c r="I12" s="154">
        <f>'Hector, Onicka'!R49</f>
        <v/>
      </c>
      <c r="J12" s="154">
        <f>'Hector, Onicka'!S49</f>
        <v/>
      </c>
      <c r="K12" s="154">
        <f>'Hector, Onicka'!Q50</f>
        <v/>
      </c>
      <c r="L12" s="317" t="n"/>
      <c r="M12" s="317" t="n"/>
      <c r="N12" s="317" t="n"/>
      <c r="O12" s="317" t="n"/>
      <c r="P12" s="317" t="n"/>
    </row>
    <row r="13">
      <c r="A13" s="154">
        <f>'Lawrence, Stephen'!M5</f>
        <v/>
      </c>
      <c r="B13" s="154">
        <f>'Lawrence, Stephen'!M4</f>
        <v/>
      </c>
      <c r="C13" s="154">
        <f>'Lawrence, Stephen'!O7</f>
        <v/>
      </c>
      <c r="D13" s="154">
        <f>'Lawrence, Stephen'!M49</f>
        <v/>
      </c>
      <c r="E13" s="154">
        <f>'Lawrence, Stephen'!N49</f>
        <v/>
      </c>
      <c r="F13" s="154">
        <f>'Lawrence, Stephen'!O49</f>
        <v/>
      </c>
      <c r="G13" s="154">
        <f>'Lawrence, Stephen'!P49</f>
        <v/>
      </c>
      <c r="H13" s="154">
        <f>'Lawrence, Stephen'!Q49</f>
        <v/>
      </c>
      <c r="I13" s="154">
        <f>'Lawrence, Stephen'!R49</f>
        <v/>
      </c>
      <c r="J13" s="154">
        <f>'Lawrence, Stephen'!S49</f>
        <v/>
      </c>
      <c r="K13" s="154">
        <f>'Lawrence, Stephen'!Q50</f>
        <v/>
      </c>
      <c r="L13" s="317" t="n"/>
      <c r="M13" s="317" t="n"/>
      <c r="N13" s="317" t="n"/>
      <c r="O13" s="317" t="n"/>
      <c r="P13" s="317" t="n"/>
    </row>
    <row r="14">
      <c r="A14" s="154">
        <f>'Lawson, Delicia'!M5</f>
        <v/>
      </c>
      <c r="B14" s="154">
        <f>'Lawson, Delicia'!M4</f>
        <v/>
      </c>
      <c r="C14" s="154">
        <f>'Lawson, Delicia'!O7</f>
        <v/>
      </c>
      <c r="D14" s="154">
        <f>'Lawson, Delicia'!M49</f>
        <v/>
      </c>
      <c r="E14" s="154">
        <f>'Lawson, Delicia'!N49</f>
        <v/>
      </c>
      <c r="F14" s="154">
        <f>'Lawson, Delicia'!O49</f>
        <v/>
      </c>
      <c r="G14" s="154">
        <f>'Lawson, Delicia'!P49</f>
        <v/>
      </c>
      <c r="H14" s="154">
        <f>'Lawson, Delicia'!Q49</f>
        <v/>
      </c>
      <c r="I14" s="154">
        <f>'Lawson, Delicia'!R49</f>
        <v/>
      </c>
      <c r="J14" s="154">
        <f>'Lawson, Delicia'!S49</f>
        <v/>
      </c>
      <c r="K14" s="154">
        <f>'Lawson, Delicia'!Q50</f>
        <v/>
      </c>
      <c r="L14" s="317" t="n"/>
      <c r="M14" s="317" t="n"/>
      <c r="N14" s="317" t="n"/>
      <c r="O14" s="317" t="n"/>
      <c r="P14" s="317" t="n"/>
    </row>
    <row r="15">
      <c r="A15" s="154">
        <f>'Lewis, Tahandica'!M5</f>
        <v/>
      </c>
      <c r="B15" s="154">
        <f>'Lewis, Tahandica'!M4</f>
        <v/>
      </c>
      <c r="C15" s="154">
        <f>'Lewis, Tahandica'!O7</f>
        <v/>
      </c>
      <c r="D15" s="154">
        <f>'Lewis, Tahandica'!M49</f>
        <v/>
      </c>
      <c r="E15" s="154">
        <f>'Lewis, Tahandica'!N49</f>
        <v/>
      </c>
      <c r="F15" s="154">
        <f>'Lewis, Tahandica'!O49</f>
        <v/>
      </c>
      <c r="G15" s="154">
        <f>'Lewis, Tahandica'!P49</f>
        <v/>
      </c>
      <c r="H15" s="154">
        <f>'Lewis, Tahandica'!Q49</f>
        <v/>
      </c>
      <c r="I15" s="154">
        <f>'Lewis, Tahandica'!R49</f>
        <v/>
      </c>
      <c r="J15" s="154">
        <f>'Lewis, Tahandica'!S49</f>
        <v/>
      </c>
      <c r="K15" s="154">
        <f>'Lewis, Tahandica'!Q50</f>
        <v/>
      </c>
      <c r="L15" s="317" t="n"/>
      <c r="M15" s="317" t="n"/>
      <c r="N15" s="317" t="n"/>
      <c r="O15" s="317" t="n"/>
      <c r="P15" s="317" t="n"/>
    </row>
    <row r="16">
      <c r="A16" s="154">
        <f>'Parris, Ceyon'!M5</f>
        <v/>
      </c>
      <c r="B16" s="154">
        <f>'Parris, Ceyon'!M4</f>
        <v/>
      </c>
      <c r="C16" s="154">
        <f>'Parris, Ceyon'!O7</f>
        <v/>
      </c>
      <c r="D16" s="154">
        <f>'Parris, Ceyon'!M49</f>
        <v/>
      </c>
      <c r="E16" s="154">
        <f>'Parris, Ceyon'!N49</f>
        <v/>
      </c>
      <c r="F16" s="154">
        <f>'Parris, Ceyon'!O49</f>
        <v/>
      </c>
      <c r="G16" s="154">
        <f>'Parris, Ceyon'!P49</f>
        <v/>
      </c>
      <c r="H16" s="154">
        <f>'Parris, Ceyon'!Q49</f>
        <v/>
      </c>
      <c r="I16" s="154">
        <f>'Parris, Ceyon'!R49</f>
        <v/>
      </c>
      <c r="J16" s="154">
        <f>'Parris, Ceyon'!S49</f>
        <v/>
      </c>
      <c r="K16" s="154">
        <f>'Parris, Ceyon'!Q50</f>
        <v/>
      </c>
      <c r="L16" s="317" t="n"/>
      <c r="M16" s="317" t="n"/>
      <c r="N16" s="317" t="n"/>
      <c r="O16" s="317" t="n"/>
      <c r="P16" s="317" t="n"/>
    </row>
    <row r="17">
      <c r="A17" s="154">
        <f>'Phoenix, Ryan'!M5</f>
        <v/>
      </c>
      <c r="B17" s="154">
        <f>'Phoenix, Ryan'!M4</f>
        <v/>
      </c>
      <c r="C17" s="154">
        <f>'Phoenix, Ryan'!O7</f>
        <v/>
      </c>
      <c r="D17" s="154">
        <f>'Phoenix, Ryan'!M49</f>
        <v/>
      </c>
      <c r="E17" s="154">
        <f>'Phoenix, Ryan'!N49</f>
        <v/>
      </c>
      <c r="F17" s="154">
        <f>'Phoenix, Ryan'!O49</f>
        <v/>
      </c>
      <c r="G17" s="154">
        <f>'Phoenix, Ryan'!P49</f>
        <v/>
      </c>
      <c r="H17" s="154">
        <f>'Phoenix, Ryan'!Q49</f>
        <v/>
      </c>
      <c r="I17" s="154">
        <f>'Phoenix, Ryan'!R49</f>
        <v/>
      </c>
      <c r="J17" s="154">
        <f>'Phoenix, Ryan'!S49</f>
        <v/>
      </c>
      <c r="K17" s="154">
        <f>'Phoenix, Ryan'!Q50</f>
        <v/>
      </c>
      <c r="L17" s="317" t="n"/>
      <c r="M17" s="317" t="n"/>
      <c r="N17" s="317" t="n"/>
      <c r="O17" s="317" t="n"/>
      <c r="P17" s="317" t="n"/>
    </row>
    <row r="18">
      <c r="A18" s="154">
        <f>'Pollard, Lotoya'!M5</f>
        <v/>
      </c>
      <c r="B18" s="154">
        <f>'Pollard, Lotoya'!M4</f>
        <v/>
      </c>
      <c r="C18" s="154">
        <f>'Pollard, Lotoya'!O7</f>
        <v/>
      </c>
      <c r="D18" s="154">
        <f>'Pollard, Lotoya'!M49</f>
        <v/>
      </c>
      <c r="E18" s="154">
        <f>'Pollard, Lotoya'!N49</f>
        <v/>
      </c>
      <c r="F18" s="154">
        <f>'Pollard, Lotoya'!O49</f>
        <v/>
      </c>
      <c r="G18" s="154">
        <f>'Pollard, Lotoya'!P49</f>
        <v/>
      </c>
      <c r="H18" s="154">
        <f>'Pollard, Lotoya'!Q49</f>
        <v/>
      </c>
      <c r="I18" s="154">
        <f>'Pollard, Lotoya'!R49</f>
        <v/>
      </c>
      <c r="J18" s="154">
        <f>'Pollard, Lotoya'!S49</f>
        <v/>
      </c>
      <c r="K18" s="154">
        <f>'Pollard, Lotoya'!Q50</f>
        <v/>
      </c>
      <c r="L18" s="317" t="n"/>
      <c r="M18" s="317" t="n"/>
      <c r="N18" s="317" t="n"/>
      <c r="O18" s="317" t="n"/>
      <c r="P18" s="317" t="n"/>
    </row>
    <row r="19">
      <c r="A19" s="154">
        <f>'Reynolds, Kevin'!M5</f>
        <v/>
      </c>
      <c r="B19" s="154">
        <f>'Reynolds, Kevin'!M4</f>
        <v/>
      </c>
      <c r="C19" s="154">
        <f>'Reynolds, Kevin'!O7</f>
        <v/>
      </c>
      <c r="D19" s="154">
        <f>'Reynolds, Kevin'!M49</f>
        <v/>
      </c>
      <c r="E19" s="154">
        <f>'Reynolds, Kevin'!N49</f>
        <v/>
      </c>
      <c r="F19" s="154">
        <f>'Reynolds, Kevin'!O49</f>
        <v/>
      </c>
      <c r="G19" s="154">
        <f>'Reynolds, Kevin'!P49</f>
        <v/>
      </c>
      <c r="H19" s="154">
        <f>'Reynolds, Kevin'!Q49</f>
        <v/>
      </c>
      <c r="I19" s="154">
        <f>'Reynolds, Kevin'!R49</f>
        <v/>
      </c>
      <c r="J19" s="154">
        <f>'Reynolds, Kevin'!S49</f>
        <v/>
      </c>
      <c r="K19" s="154">
        <f>'Reynolds, Kevin'!Q50</f>
        <v/>
      </c>
      <c r="L19" s="317" t="n"/>
      <c r="M19" s="317" t="n"/>
      <c r="N19" s="317" t="n"/>
      <c r="O19" s="317" t="n"/>
      <c r="P19" s="317" t="n"/>
    </row>
    <row r="20">
      <c r="A20" s="154">
        <f>'Roberts, Odetta'!M5</f>
        <v/>
      </c>
      <c r="B20" s="154">
        <f>'Roberts, Odetta'!M4</f>
        <v/>
      </c>
      <c r="C20" s="154">
        <f>'Roberts, Odetta'!O7</f>
        <v/>
      </c>
      <c r="D20" s="154">
        <f>'Roberts, Odetta'!M49</f>
        <v/>
      </c>
      <c r="E20" s="154">
        <f>'Roberts, Odetta'!N49</f>
        <v/>
      </c>
      <c r="F20" s="154">
        <f>'Roberts, Odetta'!O49</f>
        <v/>
      </c>
      <c r="G20" s="154">
        <f>'Roberts, Odetta'!P49</f>
        <v/>
      </c>
      <c r="H20" s="154">
        <f>'Roberts, Odetta'!Q49</f>
        <v/>
      </c>
      <c r="I20" s="154">
        <f>'Roberts, Odetta'!R49</f>
        <v/>
      </c>
      <c r="J20" s="154">
        <f>'Roberts, Odetta'!S49</f>
        <v/>
      </c>
      <c r="K20" s="154">
        <f>'Roberts, Odetta'!Q50</f>
        <v/>
      </c>
      <c r="L20" s="317" t="n"/>
      <c r="M20" s="317" t="n"/>
      <c r="N20" s="317" t="n"/>
      <c r="O20" s="317" t="n"/>
      <c r="P20" s="317" t="n"/>
    </row>
    <row r="21">
      <c r="A21" s="154">
        <f>'Robinson, Candacy'!M5</f>
        <v/>
      </c>
      <c r="B21" s="154">
        <f>'Robinson, Candacy'!M4</f>
        <v/>
      </c>
      <c r="C21" s="154">
        <f>'Robinson, Candacy'!O7</f>
        <v/>
      </c>
      <c r="D21" s="154">
        <f>'Robinson, Candacy'!M49</f>
        <v/>
      </c>
      <c r="E21" s="154">
        <f>'Robinson, Candacy'!N49</f>
        <v/>
      </c>
      <c r="F21" s="154">
        <f>'Robinson, Candacy'!O49</f>
        <v/>
      </c>
      <c r="G21" s="154">
        <f>'Robinson, Candacy'!P49</f>
        <v/>
      </c>
      <c r="H21" s="154">
        <f>'Robinson, Candacy'!Q49</f>
        <v/>
      </c>
      <c r="I21" s="154">
        <f>'Robinson, Candacy'!R49</f>
        <v/>
      </c>
      <c r="J21" s="154">
        <f>'Robinson, Candacy'!S49</f>
        <v/>
      </c>
      <c r="K21" s="154">
        <f>'Robinson, Candacy'!Q50</f>
        <v/>
      </c>
      <c r="L21" s="317" t="n"/>
      <c r="M21" s="317" t="n"/>
      <c r="N21" s="317" t="n"/>
      <c r="O21" s="317" t="n"/>
      <c r="P21" s="317" t="n"/>
    </row>
    <row r="22">
      <c r="A22" s="154">
        <f>'Spencer, Renita'!M5</f>
        <v/>
      </c>
      <c r="B22" s="154">
        <f>'Spencer, Renita'!M4</f>
        <v/>
      </c>
      <c r="C22" s="154">
        <f>'Spencer, Renita'!O7</f>
        <v/>
      </c>
      <c r="D22" s="154">
        <f>'Spencer, Renita'!M49</f>
        <v/>
      </c>
      <c r="E22" s="154">
        <f>'Spencer, Renita'!N49</f>
        <v/>
      </c>
      <c r="F22" s="154">
        <f>'Spencer, Renita'!O49</f>
        <v/>
      </c>
      <c r="G22" s="154">
        <f>'Spencer, Renita'!P49</f>
        <v/>
      </c>
      <c r="H22" s="154">
        <f>'Spencer, Renita'!Q49</f>
        <v/>
      </c>
      <c r="I22" s="154">
        <f>'Spencer, Renita'!R49</f>
        <v/>
      </c>
      <c r="J22" s="154">
        <f>'Spencer, Renita'!S49</f>
        <v/>
      </c>
      <c r="K22" s="154">
        <f>'Spencer, Renita'!Q50</f>
        <v/>
      </c>
      <c r="L22" s="317" t="n"/>
      <c r="M22" s="317" t="n"/>
      <c r="N22" s="317" t="n"/>
      <c r="O22" s="317" t="n"/>
      <c r="P22" s="317" t="n"/>
    </row>
    <row r="23">
      <c r="A23" s="154">
        <f>'Blake, Bevon'!M5</f>
        <v/>
      </c>
      <c r="B23" s="154">
        <f>'Blake, Bevon'!M4</f>
        <v/>
      </c>
      <c r="C23" s="154">
        <f>'Blake, Bevon'!O7</f>
        <v/>
      </c>
      <c r="D23" s="154">
        <f>'Blake, Bevon'!M49</f>
        <v/>
      </c>
      <c r="E23" s="154">
        <f>'Blake, Bevon'!N49</f>
        <v/>
      </c>
      <c r="F23" s="154">
        <f>'Blake, Bevon'!O49</f>
        <v/>
      </c>
      <c r="G23" s="154">
        <f>'Blake, Bevon'!P49</f>
        <v/>
      </c>
      <c r="H23" s="154">
        <f>'Blake, Bevon'!Q49</f>
        <v/>
      </c>
      <c r="I23" s="154">
        <f>'Blake, Bevon'!R49</f>
        <v/>
      </c>
      <c r="J23" s="154">
        <f>'Blake, Bevon'!S49</f>
        <v/>
      </c>
      <c r="K23" s="154">
        <f>'Blake, Bevon'!Q50</f>
        <v/>
      </c>
      <c r="L23" s="317" t="n"/>
      <c r="M23" s="317" t="n"/>
      <c r="N23" s="317" t="n"/>
      <c r="O23" s="317" t="n"/>
      <c r="P23" s="317" t="n"/>
    </row>
    <row r="24">
      <c r="A24" s="154">
        <f>'Smith, Tiffany'!M5</f>
        <v/>
      </c>
      <c r="B24" s="154">
        <f>'Smith, Tiffany'!M4</f>
        <v/>
      </c>
      <c r="C24" s="154">
        <f>'Smith, Tiffany'!O7</f>
        <v/>
      </c>
      <c r="D24" s="154">
        <f>'Smith, Tiffany'!M49</f>
        <v/>
      </c>
      <c r="E24" s="154">
        <f>'Smith, Tiffany'!N49</f>
        <v/>
      </c>
      <c r="F24" s="154">
        <f>'Smith, Tiffany'!O49</f>
        <v/>
      </c>
      <c r="G24" s="154">
        <f>'Smith, Tiffany'!P49</f>
        <v/>
      </c>
      <c r="H24" s="154">
        <f>'Smith, Tiffany'!Q49</f>
        <v/>
      </c>
      <c r="I24" s="154">
        <f>'Smith, Tiffany'!R49</f>
        <v/>
      </c>
      <c r="J24" s="154">
        <f>'Smith, Tiffany'!S49</f>
        <v/>
      </c>
      <c r="K24" s="154">
        <f>'Smith, Tiffany'!Q50</f>
        <v/>
      </c>
      <c r="L24" s="317" t="n"/>
      <c r="M24" s="317" t="n"/>
      <c r="N24" s="317" t="n"/>
      <c r="O24" s="317" t="n"/>
      <c r="P24" s="317" t="n"/>
    </row>
    <row r="25">
      <c r="A25" s="154">
        <f>'Ash, Carol'!M5</f>
        <v/>
      </c>
      <c r="B25" s="154">
        <f>'Ash, Carol'!M4</f>
        <v/>
      </c>
      <c r="C25" s="154">
        <f>'Ash, Carol'!O7</f>
        <v/>
      </c>
      <c r="D25" s="154">
        <f>'Ash, Carol'!M49</f>
        <v/>
      </c>
      <c r="E25" s="154">
        <f>'Ash, Carol'!N49</f>
        <v/>
      </c>
      <c r="F25" s="154">
        <f>'Ash, Carol'!O49</f>
        <v/>
      </c>
      <c r="G25" s="154">
        <f>'Ash, Carol'!P49</f>
        <v/>
      </c>
      <c r="H25" s="154">
        <f>'Ash, Carol'!Q49</f>
        <v/>
      </c>
      <c r="I25" s="154">
        <f>'Ash, Carol'!R49</f>
        <v/>
      </c>
      <c r="J25" s="154">
        <f>'Ash, Carol'!S49</f>
        <v/>
      </c>
      <c r="K25" s="154">
        <f>'Ash, Carol'!Q50</f>
        <v/>
      </c>
      <c r="L25" s="317" t="n"/>
      <c r="M25" s="317" t="n"/>
      <c r="N25" s="317" t="n"/>
      <c r="O25" s="317" t="n"/>
      <c r="P25" s="317" t="n"/>
    </row>
    <row r="26">
      <c r="A26" s="154">
        <f>'Cromwell, Dexter'!M5</f>
        <v/>
      </c>
      <c r="B26" s="154">
        <f>'Cromwell, Dexter'!M4</f>
        <v/>
      </c>
      <c r="C26" s="154">
        <f>'Cromwell, Dexter'!O7</f>
        <v/>
      </c>
      <c r="D26" s="154">
        <f>'Cromwell, Dexter'!M49</f>
        <v/>
      </c>
      <c r="E26" s="154">
        <f>'Cromwell, Dexter'!N49</f>
        <v/>
      </c>
      <c r="F26" s="154">
        <f>'Cromwell, Dexter'!O49</f>
        <v/>
      </c>
      <c r="G26" s="154">
        <f>'Cromwell, Dexter'!P49</f>
        <v/>
      </c>
      <c r="H26" s="154">
        <f>'Cromwell, Dexter'!Q49</f>
        <v/>
      </c>
      <c r="I26" s="154">
        <f>'Cromwell, Dexter'!R49</f>
        <v/>
      </c>
      <c r="J26" s="154">
        <f>'Cromwell, Dexter'!S49</f>
        <v/>
      </c>
      <c r="K26" s="154">
        <f>'Cromwell, Dexter'!Q50</f>
        <v/>
      </c>
      <c r="L26" s="317" t="n"/>
      <c r="M26" s="317" t="n"/>
      <c r="N26" s="317" t="n"/>
      <c r="O26" s="317" t="n"/>
      <c r="P26" s="317" t="n"/>
    </row>
    <row r="27">
      <c r="A27" s="154">
        <f>'Grant, Earl'!M5</f>
        <v/>
      </c>
      <c r="B27" s="154">
        <f>'Grant, Earl'!M4</f>
        <v/>
      </c>
      <c r="C27" s="154">
        <f>'Grant, Earl'!O7</f>
        <v/>
      </c>
      <c r="D27" s="154">
        <f>'Grant, Earl'!M49</f>
        <v/>
      </c>
      <c r="E27" s="154">
        <f>'Grant, Earl'!N49</f>
        <v/>
      </c>
      <c r="F27" s="154">
        <f>'Grant, Earl'!O49</f>
        <v/>
      </c>
      <c r="G27" s="154">
        <f>'Grant, Earl'!P49</f>
        <v/>
      </c>
      <c r="H27" s="154">
        <f>'Grant, Earl'!Q49</f>
        <v/>
      </c>
      <c r="I27" s="154">
        <f>'Grant, Earl'!R49</f>
        <v/>
      </c>
      <c r="J27" s="154">
        <f>'Grant, Earl'!S49</f>
        <v/>
      </c>
      <c r="K27" s="154">
        <f>'Grant, Earl'!Q50</f>
        <v/>
      </c>
      <c r="L27" s="317" t="n"/>
      <c r="M27" s="317" t="n"/>
      <c r="N27" s="317" t="n"/>
      <c r="O27" s="317" t="n"/>
      <c r="P27" s="317" t="n"/>
    </row>
    <row r="28">
      <c r="A28" s="154">
        <f>'Harry, Dennis'!M5</f>
        <v/>
      </c>
      <c r="B28" s="154">
        <f>'Harry, Dennis'!M4</f>
        <v/>
      </c>
      <c r="C28" s="154">
        <f>'Harry, Dennis'!O7</f>
        <v/>
      </c>
      <c r="D28" s="154">
        <f>'Harry, Dennis'!M49</f>
        <v/>
      </c>
      <c r="E28" s="154">
        <f>'Harry, Dennis'!N49</f>
        <v/>
      </c>
      <c r="F28" s="154">
        <f>'Harry, Dennis'!O49</f>
        <v/>
      </c>
      <c r="G28" s="154">
        <f>'Harry, Dennis'!P49</f>
        <v/>
      </c>
      <c r="H28" s="154">
        <f>'Harry, Dennis'!Q49</f>
        <v/>
      </c>
      <c r="I28" s="154">
        <f>'Harry, Dennis'!R49</f>
        <v/>
      </c>
      <c r="J28" s="154">
        <f>'Harry, Dennis'!S49</f>
        <v/>
      </c>
      <c r="K28" s="154">
        <f>'Harry, Dennis'!Q50</f>
        <v/>
      </c>
      <c r="L28" s="317" t="n"/>
      <c r="M28" s="317" t="n"/>
      <c r="N28" s="317" t="n"/>
      <c r="O28" s="317" t="n"/>
      <c r="P28" s="317" t="n"/>
    </row>
    <row r="29">
      <c r="A29" s="154">
        <f>'Inniss, Euci'!M5</f>
        <v/>
      </c>
      <c r="B29" s="154">
        <f>'Inniss, Euci'!M4</f>
        <v/>
      </c>
      <c r="C29" s="154">
        <f>'Inniss, Euci'!O7</f>
        <v/>
      </c>
      <c r="D29" s="154">
        <f>'Inniss, Euci'!M49</f>
        <v/>
      </c>
      <c r="E29" s="154">
        <f>'Inniss, Euci'!N49</f>
        <v/>
      </c>
      <c r="F29" s="154">
        <f>'Inniss, Euci'!O49</f>
        <v/>
      </c>
      <c r="G29" s="154">
        <f>'Inniss, Euci'!P49</f>
        <v/>
      </c>
      <c r="H29" s="154">
        <f>'Inniss, Euci'!Q49</f>
        <v/>
      </c>
      <c r="I29" s="154">
        <f>'Inniss, Euci'!R49</f>
        <v/>
      </c>
      <c r="J29" s="154">
        <f>'Inniss, Euci'!S49</f>
        <v/>
      </c>
      <c r="K29" s="154">
        <f>'Inniss, Euci'!Q50</f>
        <v/>
      </c>
      <c r="L29" s="317" t="n"/>
      <c r="M29" s="317" t="n"/>
      <c r="N29" s="317" t="n"/>
      <c r="O29" s="317" t="n"/>
      <c r="P29" s="317" t="n"/>
    </row>
    <row r="30">
      <c r="A30" s="154">
        <f>'Khan, Ahmad'!M5</f>
        <v/>
      </c>
      <c r="B30" s="154">
        <f>'Khan, Ahmad'!M4</f>
        <v/>
      </c>
      <c r="C30" s="154">
        <f>'Khan, Ahmad'!O7</f>
        <v/>
      </c>
      <c r="D30" s="154">
        <f>'Khan, Ahmad'!M49</f>
        <v/>
      </c>
      <c r="E30" s="154">
        <f>'Khan, Ahmad'!N49</f>
        <v/>
      </c>
      <c r="F30" s="154">
        <f>'Khan, Ahmad'!O49</f>
        <v/>
      </c>
      <c r="G30" s="154">
        <f>'Khan, Ahmad'!P49</f>
        <v/>
      </c>
      <c r="H30" s="154">
        <f>'Khan, Ahmad'!Q49</f>
        <v/>
      </c>
      <c r="I30" s="154">
        <f>'Khan, Ahmad'!R49</f>
        <v/>
      </c>
      <c r="J30" s="154">
        <f>'Khan, Ahmad'!S49</f>
        <v/>
      </c>
      <c r="K30" s="154">
        <f>'Khan, Ahmad'!Q50</f>
        <v/>
      </c>
      <c r="L30" s="317" t="n"/>
      <c r="M30" s="317" t="n"/>
      <c r="N30" s="317" t="n"/>
      <c r="O30" s="317" t="n"/>
      <c r="P30" s="317" t="n"/>
    </row>
    <row r="31">
      <c r="A31" s="154">
        <f>'Vincent, Fucien'!M5</f>
        <v/>
      </c>
      <c r="B31" s="154">
        <f>'Vincent, Fucien'!M4</f>
        <v/>
      </c>
      <c r="C31" s="154">
        <f>'Vincent, Fucien'!O7</f>
        <v/>
      </c>
      <c r="D31" s="154">
        <f>'Vincent, Fucien'!M49</f>
        <v/>
      </c>
      <c r="E31" s="154">
        <f>'Vincent, Fucien'!N49</f>
        <v/>
      </c>
      <c r="F31" s="154">
        <f>'Vincent, Fucien'!O49</f>
        <v/>
      </c>
      <c r="G31" s="154">
        <f>'Vincent, Fucien'!P49</f>
        <v/>
      </c>
      <c r="H31" s="154">
        <f>'Vincent, Fucien'!Q49</f>
        <v/>
      </c>
      <c r="I31" s="154">
        <f>'Vincent, Fucien'!R49</f>
        <v/>
      </c>
      <c r="J31" s="154">
        <f>'Vincent, Fucien'!S49</f>
        <v/>
      </c>
      <c r="K31" s="154">
        <f>'Vincent, Fucien'!Q50</f>
        <v/>
      </c>
      <c r="L31" s="317" t="n"/>
      <c r="M31" s="317" t="n"/>
      <c r="N31" s="317" t="n"/>
      <c r="O31" s="317" t="n"/>
      <c r="P31" s="317" t="n"/>
    </row>
    <row r="32">
      <c r="A32" s="305" t="n"/>
      <c r="B32" s="305" t="n"/>
      <c r="C32" s="305" t="n"/>
      <c r="D32" s="305" t="n"/>
      <c r="E32" s="305" t="n"/>
      <c r="F32" s="305" t="n"/>
      <c r="G32" s="305" t="n"/>
      <c r="H32" s="305" t="n"/>
      <c r="I32" s="305" t="n"/>
      <c r="J32" s="305" t="n"/>
      <c r="K32" s="305" t="n"/>
      <c r="L32" s="317" t="n"/>
      <c r="M32" s="317" t="n"/>
      <c r="N32" s="317" t="n"/>
      <c r="O32" s="317" t="n"/>
      <c r="P32" s="317" t="n"/>
    </row>
    <row r="33">
      <c r="A33" s="305" t="n"/>
      <c r="B33" s="305" t="n"/>
      <c r="C33" s="305" t="n"/>
      <c r="D33" s="305" t="n"/>
      <c r="E33" s="305" t="n"/>
      <c r="F33" s="305" t="n"/>
      <c r="G33" s="305" t="n"/>
      <c r="H33" s="305" t="n"/>
      <c r="I33" s="305" t="n"/>
      <c r="J33" s="305" t="n"/>
      <c r="K33" s="305" t="n"/>
      <c r="L33" s="317" t="n"/>
      <c r="M33" s="317" t="n"/>
      <c r="N33" s="317" t="n"/>
      <c r="O33" s="317" t="n"/>
      <c r="P33" s="317" t="n"/>
    </row>
    <row r="34">
      <c r="A34" s="305" t="n"/>
      <c r="B34" s="305" t="n"/>
      <c r="C34" s="305" t="n"/>
      <c r="D34" s="305" t="n"/>
      <c r="E34" s="305" t="n"/>
      <c r="F34" s="305" t="n"/>
      <c r="G34" s="305" t="n"/>
      <c r="H34" s="305" t="n"/>
      <c r="I34" s="305" t="n"/>
      <c r="J34" s="305" t="n"/>
      <c r="K34" s="305" t="n"/>
      <c r="L34" s="317" t="n"/>
      <c r="M34" s="317" t="n"/>
      <c r="N34" s="317" t="n"/>
      <c r="O34" s="317" t="n"/>
      <c r="P34" s="317" t="n"/>
    </row>
    <row r="35">
      <c r="A35" s="305" t="n"/>
      <c r="B35" s="305" t="n"/>
      <c r="C35" s="305" t="n"/>
      <c r="D35" s="305" t="n"/>
      <c r="E35" s="305" t="n"/>
      <c r="F35" s="305" t="n"/>
      <c r="G35" s="305" t="n"/>
      <c r="H35" s="305" t="n"/>
      <c r="I35" s="305" t="n"/>
      <c r="J35" s="305" t="n"/>
      <c r="K35" s="305" t="n"/>
      <c r="L35" s="317" t="n"/>
      <c r="M35" s="317" t="n"/>
      <c r="N35" s="317" t="n"/>
      <c r="O35" s="317" t="n"/>
      <c r="P35" s="317" t="n"/>
    </row>
    <row r="36">
      <c r="A36" s="305" t="n"/>
      <c r="B36" s="305" t="n"/>
      <c r="C36" s="305" t="n"/>
      <c r="D36" s="305" t="n"/>
      <c r="E36" s="305" t="n"/>
      <c r="F36" s="305" t="n"/>
      <c r="G36" s="305" t="n"/>
      <c r="H36" s="305" t="n"/>
      <c r="I36" s="305" t="n"/>
      <c r="J36" s="305" t="n"/>
      <c r="K36" s="305" t="n"/>
      <c r="L36" s="317" t="n"/>
      <c r="M36" s="317" t="n"/>
      <c r="N36" s="317" t="n"/>
      <c r="O36" s="317" t="n"/>
      <c r="P36" s="317" t="n"/>
    </row>
    <row r="37">
      <c r="A37" s="305" t="n"/>
      <c r="B37" s="305" t="n"/>
      <c r="C37" s="305" t="n"/>
      <c r="D37" s="305" t="n"/>
      <c r="E37" s="305" t="n"/>
      <c r="F37" s="305" t="n"/>
      <c r="G37" s="305" t="n"/>
      <c r="H37" s="305" t="n"/>
      <c r="I37" s="305" t="n"/>
      <c r="J37" s="305" t="n"/>
      <c r="K37" s="305" t="n"/>
      <c r="L37" s="317" t="n"/>
      <c r="M37" s="317" t="n"/>
      <c r="N37" s="317" t="n"/>
      <c r="O37" s="317" t="n"/>
      <c r="P37" s="317" t="n"/>
    </row>
    <row r="38">
      <c r="A38" s="305" t="n"/>
      <c r="B38" s="305" t="n"/>
      <c r="C38" s="305" t="n"/>
      <c r="D38" s="305" t="n"/>
      <c r="E38" s="305" t="n"/>
      <c r="F38" s="305" t="n"/>
      <c r="G38" s="305" t="n"/>
      <c r="H38" s="305" t="n"/>
      <c r="I38" s="305" t="n"/>
      <c r="J38" s="305" t="n"/>
      <c r="K38" s="305" t="n"/>
      <c r="L38" s="317" t="n"/>
      <c r="M38" s="317" t="n"/>
      <c r="N38" s="317" t="n"/>
      <c r="O38" s="317" t="n"/>
      <c r="P38" s="317" t="n"/>
    </row>
    <row r="39">
      <c r="A39" s="305" t="n"/>
      <c r="B39" s="305" t="n"/>
      <c r="C39" s="305" t="n"/>
      <c r="D39" s="305" t="n"/>
      <c r="E39" s="305" t="n"/>
      <c r="F39" s="305" t="n"/>
      <c r="G39" s="305" t="n"/>
      <c r="H39" s="305" t="n"/>
      <c r="I39" s="305" t="n"/>
      <c r="J39" s="305" t="n"/>
      <c r="K39" s="305" t="n"/>
      <c r="L39" s="317" t="n"/>
      <c r="M39" s="317" t="n"/>
      <c r="N39" s="317" t="n"/>
      <c r="O39" s="317" t="n"/>
      <c r="P39" s="317" t="n"/>
    </row>
    <row r="40">
      <c r="A40" s="305" t="n"/>
      <c r="B40" s="305" t="n"/>
      <c r="C40" s="305" t="n"/>
      <c r="D40" s="305" t="n"/>
      <c r="E40" s="305" t="n"/>
      <c r="F40" s="305" t="n"/>
      <c r="G40" s="305" t="n"/>
      <c r="H40" s="305" t="n"/>
      <c r="I40" s="305" t="n"/>
      <c r="J40" s="305" t="n"/>
      <c r="K40" s="305" t="n"/>
      <c r="L40" s="317" t="n"/>
      <c r="M40" s="317" t="n"/>
      <c r="N40" s="317" t="n"/>
      <c r="O40" s="317" t="n"/>
      <c r="P40" s="317" t="n"/>
    </row>
    <row r="41">
      <c r="A41" s="305" t="n"/>
      <c r="B41" s="305" t="n"/>
      <c r="C41" s="305" t="n"/>
      <c r="D41" s="305" t="n"/>
      <c r="E41" s="305" t="n"/>
      <c r="F41" s="305" t="n"/>
      <c r="G41" s="305" t="n"/>
      <c r="H41" s="305" t="n"/>
      <c r="I41" s="305" t="n"/>
      <c r="J41" s="305" t="n"/>
      <c r="K41" s="305" t="n"/>
      <c r="L41" s="317" t="n"/>
      <c r="M41" s="317" t="n"/>
      <c r="N41" s="317" t="n"/>
      <c r="O41" s="317" t="n"/>
      <c r="P41" s="317" t="n"/>
    </row>
    <row r="42">
      <c r="A42" s="305" t="n"/>
      <c r="B42" s="305" t="n"/>
      <c r="C42" s="305" t="n"/>
      <c r="D42" s="305" t="n"/>
      <c r="E42" s="305" t="n"/>
      <c r="F42" s="305" t="n"/>
      <c r="G42" s="305" t="n"/>
      <c r="H42" s="305" t="n"/>
      <c r="I42" s="305" t="n"/>
      <c r="J42" s="305" t="n"/>
      <c r="K42" s="305" t="n"/>
      <c r="L42" s="317" t="n"/>
      <c r="M42" s="317" t="n"/>
      <c r="N42" s="317" t="n"/>
      <c r="O42" s="317" t="n"/>
      <c r="P42" s="317" t="n"/>
    </row>
    <row r="43">
      <c r="A43" s="305" t="n"/>
      <c r="B43" s="305" t="n"/>
      <c r="C43" s="305" t="n"/>
      <c r="D43" s="305" t="n"/>
      <c r="E43" s="305" t="n"/>
      <c r="F43" s="305" t="n"/>
      <c r="G43" s="305" t="n"/>
      <c r="H43" s="305" t="n"/>
      <c r="I43" s="305" t="n"/>
      <c r="J43" s="305" t="n"/>
      <c r="K43" s="305" t="n"/>
      <c r="L43" s="317" t="n"/>
      <c r="M43" s="317" t="n"/>
      <c r="N43" s="317" t="n"/>
      <c r="O43" s="317" t="n"/>
      <c r="P43" s="317" t="n"/>
    </row>
    <row r="44">
      <c r="A44" s="305" t="n"/>
      <c r="B44" s="305" t="n"/>
      <c r="C44" s="305" t="n"/>
      <c r="D44" s="305" t="n"/>
      <c r="E44" s="305" t="n"/>
      <c r="F44" s="305" t="n"/>
      <c r="G44" s="305" t="n"/>
      <c r="H44" s="305" t="n"/>
      <c r="I44" s="305" t="n"/>
      <c r="J44" s="305" t="n"/>
      <c r="K44" s="305" t="n"/>
      <c r="L44" s="317" t="n"/>
      <c r="M44" s="317" t="n"/>
      <c r="N44" s="317" t="n"/>
      <c r="O44" s="317" t="n"/>
      <c r="P44" s="317" t="n"/>
    </row>
    <row r="45">
      <c r="A45" s="305" t="n"/>
      <c r="B45" s="305" t="n"/>
      <c r="C45" s="305" t="n"/>
      <c r="D45" s="305" t="n"/>
      <c r="E45" s="305" t="n"/>
      <c r="F45" s="305" t="n"/>
      <c r="G45" s="305" t="n"/>
      <c r="H45" s="305" t="n"/>
      <c r="I45" s="305" t="n"/>
      <c r="J45" s="305" t="n"/>
      <c r="K45" s="305" t="n"/>
      <c r="L45" s="317" t="n"/>
      <c r="M45" s="317" t="n"/>
      <c r="N45" s="317" t="n"/>
      <c r="O45" s="317" t="n"/>
      <c r="P45" s="317" t="n"/>
    </row>
    <row r="46">
      <c r="A46" s="305" t="n"/>
      <c r="B46" s="305" t="n"/>
      <c r="C46" s="305" t="n"/>
      <c r="D46" s="305" t="n"/>
      <c r="E46" s="305" t="n"/>
      <c r="F46" s="305" t="n"/>
      <c r="G46" s="305" t="n"/>
      <c r="H46" s="305" t="n"/>
      <c r="I46" s="305" t="n"/>
      <c r="J46" s="305" t="n"/>
      <c r="K46" s="305" t="n"/>
      <c r="L46" s="317" t="n"/>
      <c r="M46" s="317" t="n"/>
      <c r="N46" s="317" t="n"/>
      <c r="O46" s="317" t="n"/>
      <c r="P46" s="317" t="n"/>
    </row>
    <row r="47">
      <c r="A47" s="305" t="n"/>
      <c r="B47" s="305" t="n"/>
      <c r="C47" s="305" t="n"/>
      <c r="D47" s="305" t="n"/>
      <c r="E47" s="305" t="n"/>
      <c r="F47" s="305" t="n"/>
      <c r="G47" s="305" t="n"/>
      <c r="H47" s="305" t="n"/>
      <c r="I47" s="305" t="n"/>
      <c r="J47" s="305" t="n"/>
      <c r="K47" s="305" t="n"/>
      <c r="L47" s="317" t="n"/>
      <c r="M47" s="317" t="n"/>
      <c r="N47" s="317" t="n"/>
      <c r="O47" s="317" t="n"/>
      <c r="P47" s="317" t="n"/>
    </row>
    <row r="48">
      <c r="A48" s="305" t="n"/>
      <c r="B48" s="305" t="n"/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17" t="n"/>
      <c r="M48" s="317" t="n"/>
      <c r="N48" s="317" t="n"/>
      <c r="O48" s="317" t="n"/>
      <c r="P48" s="317" t="n"/>
    </row>
    <row r="49">
      <c r="A49" s="305" t="n"/>
      <c r="B49" s="305" t="n"/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17" t="n"/>
      <c r="M49" s="317" t="n"/>
      <c r="N49" s="317" t="n"/>
      <c r="O49" s="317" t="n"/>
      <c r="P49" s="317" t="n"/>
    </row>
    <row r="50">
      <c r="A50" s="305" t="n"/>
      <c r="B50" s="305" t="n"/>
      <c r="C50" s="305" t="n"/>
      <c r="D50" s="305" t="n"/>
      <c r="E50" s="305" t="n"/>
      <c r="F50" s="305" t="n"/>
      <c r="G50" s="305" t="n"/>
      <c r="H50" s="305" t="n"/>
      <c r="I50" s="305" t="n"/>
      <c r="J50" s="305" t="n"/>
      <c r="K50" s="305" t="n"/>
      <c r="L50" s="317" t="n"/>
      <c r="M50" s="317" t="n"/>
      <c r="N50" s="317" t="n"/>
      <c r="O50" s="317" t="n"/>
      <c r="P50" s="317" t="n"/>
    </row>
    <row r="51">
      <c r="A51" s="305" t="n"/>
      <c r="B51" s="305" t="n"/>
      <c r="C51" s="305" t="n"/>
      <c r="D51" s="305" t="n"/>
      <c r="E51" s="305" t="n"/>
      <c r="F51" s="305" t="n"/>
      <c r="G51" s="305" t="n"/>
      <c r="H51" s="305" t="n"/>
      <c r="I51" s="305" t="n"/>
      <c r="J51" s="305" t="n"/>
      <c r="K51" s="305" t="n"/>
      <c r="L51" s="317" t="n"/>
      <c r="M51" s="317" t="n"/>
      <c r="N51" s="317" t="n"/>
      <c r="O51" s="317" t="n"/>
      <c r="P51" s="317" t="n"/>
    </row>
    <row r="52">
      <c r="A52" s="305" t="n"/>
      <c r="B52" s="305" t="n"/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17" t="n"/>
      <c r="M52" s="317" t="n"/>
      <c r="N52" s="317" t="n"/>
      <c r="O52" s="317" t="n"/>
      <c r="P52" s="317" t="n"/>
    </row>
    <row r="53">
      <c r="A53" s="305" t="n"/>
      <c r="B53" s="305" t="n"/>
      <c r="C53" s="305" t="n"/>
      <c r="D53" s="305" t="n"/>
      <c r="E53" s="305" t="n"/>
      <c r="F53" s="305" t="n"/>
      <c r="G53" s="305" t="n"/>
      <c r="H53" s="305" t="n"/>
      <c r="I53" s="305" t="n"/>
      <c r="J53" s="305" t="n"/>
      <c r="K53" s="305" t="n"/>
      <c r="L53" s="317" t="n"/>
      <c r="M53" s="317" t="n"/>
      <c r="N53" s="317" t="n"/>
      <c r="O53" s="317" t="n"/>
      <c r="P53" s="317" t="n"/>
    </row>
    <row r="54">
      <c r="A54" s="305" t="n"/>
      <c r="B54" s="305" t="n"/>
      <c r="C54" s="305" t="n"/>
      <c r="D54" s="305" t="n"/>
      <c r="E54" s="305" t="n"/>
      <c r="F54" s="305" t="n"/>
      <c r="G54" s="305" t="n"/>
      <c r="H54" s="305" t="n"/>
      <c r="I54" s="305" t="n"/>
      <c r="J54" s="305" t="n"/>
      <c r="K54" s="305" t="n"/>
      <c r="L54" s="317" t="n"/>
      <c r="M54" s="317" t="n"/>
      <c r="N54" s="317" t="n"/>
      <c r="O54" s="317" t="n"/>
      <c r="P54" s="317" t="n"/>
    </row>
    <row r="55">
      <c r="A55" s="305" t="n"/>
      <c r="B55" s="305" t="n"/>
      <c r="C55" s="305" t="n"/>
      <c r="D55" s="305" t="n"/>
      <c r="E55" s="305" t="n"/>
      <c r="F55" s="305" t="n"/>
      <c r="G55" s="305" t="n"/>
      <c r="H55" s="305" t="n"/>
      <c r="I55" s="305" t="n"/>
      <c r="J55" s="305" t="n"/>
      <c r="K55" s="305" t="n"/>
      <c r="L55" s="317" t="n"/>
      <c r="M55" s="317" t="n"/>
      <c r="N55" s="317" t="n"/>
      <c r="O55" s="317" t="n"/>
      <c r="P55" s="317" t="n"/>
    </row>
    <row r="56">
      <c r="A56" s="305" t="n"/>
      <c r="B56" s="305" t="n"/>
      <c r="C56" s="305" t="n"/>
      <c r="D56" s="305" t="n"/>
      <c r="E56" s="305" t="n"/>
      <c r="F56" s="305" t="n"/>
      <c r="G56" s="305" t="n"/>
      <c r="H56" s="305" t="n"/>
      <c r="I56" s="305" t="n"/>
      <c r="J56" s="305" t="n"/>
      <c r="K56" s="305" t="n"/>
      <c r="L56" s="317" t="n"/>
      <c r="M56" s="317" t="n"/>
      <c r="N56" s="317" t="n"/>
      <c r="O56" s="317" t="n"/>
      <c r="P56" s="317" t="n"/>
    </row>
    <row r="57">
      <c r="A57" s="305" t="n"/>
      <c r="B57" s="305" t="n"/>
      <c r="C57" s="305" t="n"/>
      <c r="D57" s="305" t="n"/>
      <c r="E57" s="305" t="n"/>
      <c r="F57" s="305" t="n"/>
      <c r="G57" s="305" t="n"/>
      <c r="H57" s="305" t="n"/>
      <c r="I57" s="305" t="n"/>
      <c r="J57" s="305" t="n"/>
      <c r="K57" s="305" t="n"/>
      <c r="L57" s="317" t="n"/>
      <c r="M57" s="317" t="n"/>
      <c r="N57" s="317" t="n"/>
      <c r="O57" s="317" t="n"/>
      <c r="P57" s="317" t="n"/>
    </row>
    <row r="58">
      <c r="A58" s="305" t="n"/>
      <c r="B58" s="305" t="n"/>
      <c r="C58" s="305" t="n"/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17" t="n"/>
      <c r="M58" s="317" t="n"/>
      <c r="N58" s="317" t="n"/>
      <c r="O58" s="317" t="n"/>
      <c r="P58" s="317" t="n"/>
    </row>
    <row r="59">
      <c r="A59" s="305" t="n"/>
      <c r="B59" s="305" t="n"/>
      <c r="C59" s="305" t="n"/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17" t="n"/>
      <c r="M59" s="317" t="n"/>
      <c r="N59" s="317" t="n"/>
      <c r="O59" s="317" t="n"/>
      <c r="P59" s="317" t="n"/>
    </row>
    <row r="60">
      <c r="A60" s="305" t="n"/>
      <c r="B60" s="305" t="n"/>
      <c r="C60" s="305" t="n"/>
      <c r="D60" s="305" t="n"/>
      <c r="E60" s="305" t="n"/>
      <c r="F60" s="305" t="n"/>
      <c r="G60" s="305" t="n"/>
      <c r="H60" s="305" t="n"/>
      <c r="I60" s="305" t="n"/>
      <c r="J60" s="305" t="n"/>
      <c r="K60" s="305" t="n"/>
      <c r="L60" s="317" t="n"/>
      <c r="M60" s="317" t="n"/>
      <c r="N60" s="317" t="n"/>
      <c r="O60" s="317" t="n"/>
      <c r="P60" s="317" t="n"/>
    </row>
    <row r="61">
      <c r="A61" s="305" t="n"/>
      <c r="B61" s="305" t="n"/>
      <c r="C61" s="305" t="n"/>
      <c r="D61" s="305" t="n"/>
      <c r="E61" s="305" t="n"/>
      <c r="F61" s="305" t="n"/>
      <c r="G61" s="305" t="n"/>
      <c r="H61" s="305" t="n"/>
      <c r="I61" s="305" t="n"/>
      <c r="J61" s="305" t="n"/>
      <c r="K61" s="305" t="n"/>
      <c r="L61" s="317" t="n"/>
      <c r="M61" s="317" t="n"/>
      <c r="N61" s="317" t="n"/>
      <c r="O61" s="317" t="n"/>
      <c r="P61" s="317" t="n"/>
    </row>
    <row r="62">
      <c r="A62" s="305" t="n"/>
      <c r="B62" s="305" t="n"/>
      <c r="C62" s="305" t="n"/>
      <c r="D62" s="305" t="n"/>
      <c r="E62" s="305" t="n"/>
      <c r="F62" s="305" t="n"/>
      <c r="G62" s="305" t="n"/>
      <c r="H62" s="305" t="n"/>
      <c r="I62" s="305" t="n"/>
      <c r="J62" s="305" t="n"/>
      <c r="K62" s="305" t="n"/>
      <c r="L62" s="317" t="n"/>
      <c r="M62" s="317" t="n"/>
      <c r="N62" s="317" t="n"/>
      <c r="O62" s="317" t="n"/>
      <c r="P62" s="317" t="n"/>
    </row>
    <row r="63">
      <c r="A63" s="305" t="n"/>
      <c r="B63" s="305" t="n"/>
      <c r="C63" s="305" t="n"/>
      <c r="D63" s="305" t="n"/>
      <c r="E63" s="305" t="n"/>
      <c r="F63" s="305" t="n"/>
      <c r="G63" s="305" t="n"/>
      <c r="H63" s="305" t="n"/>
      <c r="I63" s="305" t="n"/>
      <c r="J63" s="305" t="n"/>
      <c r="K63" s="305" t="n"/>
      <c r="L63" s="317" t="n"/>
      <c r="M63" s="317" t="n"/>
      <c r="N63" s="317" t="n"/>
      <c r="O63" s="317" t="n"/>
      <c r="P63" s="317" t="n"/>
    </row>
    <row r="64">
      <c r="A64" s="305" t="n"/>
      <c r="B64" s="305" t="n"/>
      <c r="C64" s="305" t="n"/>
      <c r="D64" s="305" t="n"/>
      <c r="E64" s="305" t="n"/>
      <c r="F64" s="305" t="n"/>
      <c r="G64" s="305" t="n"/>
      <c r="H64" s="305" t="n"/>
      <c r="I64" s="305" t="n"/>
      <c r="J64" s="305" t="n"/>
      <c r="K64" s="305" t="n"/>
      <c r="L64" s="317" t="n"/>
      <c r="M64" s="317" t="n"/>
      <c r="N64" s="317" t="n"/>
      <c r="O64" s="317" t="n"/>
      <c r="P64" s="317" t="n"/>
    </row>
    <row r="65">
      <c r="A65" s="305" t="n"/>
      <c r="B65" s="305" t="n"/>
      <c r="C65" s="305" t="n"/>
      <c r="D65" s="305" t="n"/>
      <c r="E65" s="305" t="n"/>
      <c r="F65" s="305" t="n"/>
      <c r="G65" s="305" t="n"/>
      <c r="H65" s="305" t="n"/>
      <c r="I65" s="305" t="n"/>
      <c r="J65" s="305" t="n"/>
      <c r="K65" s="305" t="n"/>
      <c r="L65" s="317" t="n"/>
      <c r="M65" s="317" t="n"/>
      <c r="N65" s="317" t="n"/>
      <c r="O65" s="317" t="n"/>
      <c r="P65" s="317" t="n"/>
    </row>
    <row r="66">
      <c r="A66" s="305" t="n"/>
      <c r="B66" s="305" t="n"/>
      <c r="C66" s="305" t="n"/>
      <c r="D66" s="305" t="n"/>
      <c r="E66" s="305" t="n"/>
      <c r="F66" s="305" t="n"/>
      <c r="G66" s="305" t="n"/>
      <c r="H66" s="305" t="n"/>
      <c r="I66" s="305" t="n"/>
      <c r="J66" s="305" t="n"/>
      <c r="K66" s="305" t="n"/>
      <c r="L66" s="317" t="n"/>
      <c r="M66" s="317" t="n"/>
      <c r="N66" s="317" t="n"/>
      <c r="O66" s="317" t="n"/>
      <c r="P66" s="317" t="n"/>
    </row>
    <row r="67">
      <c r="A67" s="305" t="n"/>
      <c r="B67" s="305" t="n"/>
      <c r="C67" s="305" t="n"/>
      <c r="D67" s="305" t="n"/>
      <c r="E67" s="305" t="n"/>
      <c r="F67" s="305" t="n"/>
      <c r="G67" s="305" t="n"/>
      <c r="H67" s="305" t="n"/>
      <c r="I67" s="305" t="n"/>
      <c r="J67" s="305" t="n"/>
      <c r="K67" s="305" t="n"/>
      <c r="L67" s="317" t="n"/>
      <c r="M67" s="317" t="n"/>
      <c r="N67" s="317" t="n"/>
      <c r="O67" s="317" t="n"/>
      <c r="P67" s="317" t="n"/>
    </row>
    <row r="68">
      <c r="A68" s="305" t="n"/>
      <c r="B68" s="305" t="n"/>
      <c r="C68" s="305" t="n"/>
      <c r="D68" s="305" t="n"/>
      <c r="E68" s="305" t="n"/>
      <c r="F68" s="305" t="n"/>
      <c r="G68" s="305" t="n"/>
      <c r="H68" s="305" t="n"/>
      <c r="I68" s="305" t="n"/>
      <c r="J68" s="305" t="n"/>
      <c r="K68" s="305" t="n"/>
      <c r="L68" s="317" t="n"/>
      <c r="M68" s="317" t="n"/>
      <c r="N68" s="317" t="n"/>
      <c r="O68" s="317" t="n"/>
      <c r="P68" s="317" t="n"/>
    </row>
    <row r="69">
      <c r="A69" s="305" t="n"/>
      <c r="B69" s="305" t="n"/>
      <c r="C69" s="305" t="n"/>
      <c r="D69" s="305" t="n"/>
      <c r="E69" s="305" t="n"/>
      <c r="F69" s="305" t="n"/>
      <c r="G69" s="305" t="n"/>
      <c r="H69" s="305" t="n"/>
      <c r="I69" s="305" t="n"/>
      <c r="J69" s="305" t="n"/>
      <c r="K69" s="305" t="n"/>
      <c r="L69" s="317" t="n"/>
      <c r="M69" s="317" t="n"/>
      <c r="N69" s="317" t="n"/>
      <c r="O69" s="317" t="n"/>
      <c r="P69" s="317" t="n"/>
    </row>
    <row r="70">
      <c r="A70" s="305" t="n"/>
      <c r="B70" s="305" t="n"/>
      <c r="C70" s="305" t="n"/>
      <c r="D70" s="305" t="n"/>
      <c r="E70" s="305" t="n"/>
      <c r="F70" s="305" t="n"/>
      <c r="G70" s="305" t="n"/>
      <c r="H70" s="305" t="n"/>
      <c r="I70" s="305" t="n"/>
      <c r="J70" s="305" t="n"/>
      <c r="K70" s="305" t="n"/>
      <c r="L70" s="317" t="n"/>
      <c r="M70" s="317" t="n"/>
      <c r="N70" s="317" t="n"/>
      <c r="O70" s="317" t="n"/>
      <c r="P70" s="317" t="n"/>
    </row>
    <row r="71">
      <c r="A71" s="305" t="n"/>
      <c r="B71" s="305" t="n"/>
      <c r="C71" s="305" t="n"/>
      <c r="D71" s="305" t="n"/>
      <c r="E71" s="305" t="n"/>
      <c r="F71" s="305" t="n"/>
      <c r="G71" s="305" t="n"/>
      <c r="H71" s="305" t="n"/>
      <c r="I71" s="305" t="n"/>
      <c r="J71" s="305" t="n"/>
      <c r="K71" s="305" t="n"/>
      <c r="L71" s="317" t="n"/>
      <c r="M71" s="317" t="n"/>
      <c r="N71" s="317" t="n"/>
      <c r="O71" s="317" t="n"/>
      <c r="P71" s="317" t="n"/>
    </row>
    <row r="72">
      <c r="A72" s="305" t="n"/>
      <c r="B72" s="305" t="n"/>
      <c r="C72" s="305" t="n"/>
      <c r="D72" s="305" t="n"/>
      <c r="E72" s="305" t="n"/>
      <c r="F72" s="305" t="n"/>
      <c r="G72" s="305" t="n"/>
      <c r="H72" s="305" t="n"/>
      <c r="I72" s="305" t="n"/>
      <c r="J72" s="305" t="n"/>
      <c r="K72" s="305" t="n"/>
      <c r="L72" s="317" t="n"/>
      <c r="M72" s="317" t="n"/>
      <c r="N72" s="317" t="n"/>
      <c r="O72" s="317" t="n"/>
      <c r="P72" s="317" t="n"/>
    </row>
    <row r="73">
      <c r="A73" s="305" t="n"/>
      <c r="B73" s="305" t="n"/>
      <c r="C73" s="305" t="n"/>
      <c r="D73" s="305" t="n"/>
      <c r="E73" s="305" t="n"/>
      <c r="F73" s="305" t="n"/>
      <c r="G73" s="305" t="n"/>
      <c r="H73" s="305" t="n"/>
      <c r="I73" s="305" t="n"/>
      <c r="J73" s="305" t="n"/>
      <c r="K73" s="305" t="n"/>
      <c r="L73" s="317" t="n"/>
      <c r="M73" s="317" t="n"/>
      <c r="N73" s="317" t="n"/>
      <c r="O73" s="317" t="n"/>
      <c r="P73" s="317" t="n"/>
    </row>
    <row r="74">
      <c r="A74" s="305" t="n"/>
      <c r="B74" s="305" t="n"/>
      <c r="C74" s="305" t="n"/>
      <c r="D74" s="305" t="n"/>
      <c r="E74" s="305" t="n"/>
      <c r="F74" s="305" t="n"/>
      <c r="G74" s="305" t="n"/>
      <c r="H74" s="305" t="n"/>
      <c r="I74" s="305" t="n"/>
      <c r="J74" s="305" t="n"/>
      <c r="K74" s="305" t="n"/>
      <c r="L74" s="317" t="n"/>
      <c r="M74" s="317" t="n"/>
      <c r="N74" s="317" t="n"/>
      <c r="O74" s="317" t="n"/>
      <c r="P74" s="317" t="n"/>
    </row>
    <row r="75">
      <c r="A75" s="305" t="n"/>
      <c r="B75" s="305" t="n"/>
      <c r="C75" s="305" t="n"/>
      <c r="D75" s="305" t="n"/>
      <c r="E75" s="305" t="n"/>
      <c r="F75" s="305" t="n"/>
      <c r="G75" s="305" t="n"/>
      <c r="H75" s="305" t="n"/>
      <c r="I75" s="305" t="n"/>
      <c r="J75" s="305" t="n"/>
      <c r="K75" s="305" t="n"/>
      <c r="L75" s="317" t="n"/>
      <c r="M75" s="317" t="n"/>
      <c r="N75" s="317" t="n"/>
      <c r="O75" s="317" t="n"/>
      <c r="P75" s="317" t="n"/>
    </row>
    <row r="76">
      <c r="A76" s="305" t="n"/>
      <c r="B76" s="305" t="n"/>
      <c r="C76" s="305" t="n"/>
      <c r="D76" s="305" t="n"/>
      <c r="E76" s="305" t="n"/>
      <c r="F76" s="305" t="n"/>
      <c r="G76" s="305" t="n"/>
      <c r="H76" s="305" t="n"/>
      <c r="I76" s="305" t="n"/>
      <c r="J76" s="305" t="n"/>
      <c r="K76" s="305" t="n"/>
      <c r="L76" s="317" t="n"/>
      <c r="M76" s="317" t="n"/>
      <c r="N76" s="317" t="n"/>
      <c r="O76" s="317" t="n"/>
      <c r="P76" s="317" t="n"/>
    </row>
    <row r="77">
      <c r="A77" s="305" t="n"/>
      <c r="B77" s="305" t="n"/>
      <c r="C77" s="305" t="n"/>
      <c r="D77" s="305" t="n"/>
      <c r="E77" s="305" t="n"/>
      <c r="F77" s="305" t="n"/>
      <c r="G77" s="305" t="n"/>
      <c r="H77" s="305" t="n"/>
      <c r="I77" s="305" t="n"/>
      <c r="J77" s="305" t="n"/>
      <c r="K77" s="305" t="n"/>
      <c r="L77" s="317" t="n"/>
      <c r="M77" s="317" t="n"/>
      <c r="N77" s="317" t="n"/>
      <c r="O77" s="317" t="n"/>
      <c r="P77" s="317" t="n"/>
    </row>
    <row r="78">
      <c r="A78" s="305" t="n"/>
      <c r="B78" s="305" t="n"/>
      <c r="C78" s="305" t="n"/>
      <c r="D78" s="305" t="n"/>
      <c r="E78" s="305" t="n"/>
      <c r="F78" s="305" t="n"/>
      <c r="G78" s="305" t="n"/>
      <c r="H78" s="305" t="n"/>
      <c r="I78" s="305" t="n"/>
      <c r="J78" s="305" t="n"/>
      <c r="K78" s="305" t="n"/>
      <c r="L78" s="317" t="n"/>
      <c r="M78" s="317" t="n"/>
      <c r="N78" s="317" t="n"/>
      <c r="O78" s="317" t="n"/>
      <c r="P78" s="317" t="n"/>
    </row>
    <row r="79">
      <c r="A79" s="305" t="n"/>
      <c r="B79" s="305" t="n"/>
      <c r="C79" s="305" t="n"/>
      <c r="D79" s="305" t="n"/>
      <c r="E79" s="305" t="n"/>
      <c r="F79" s="305" t="n"/>
      <c r="G79" s="305" t="n"/>
      <c r="H79" s="305" t="n"/>
      <c r="I79" s="305" t="n"/>
      <c r="J79" s="305" t="n"/>
      <c r="K79" s="305" t="n"/>
      <c r="L79" s="317" t="n"/>
      <c r="M79" s="317" t="n"/>
      <c r="N79" s="317" t="n"/>
      <c r="O79" s="317" t="n"/>
      <c r="P79" s="317" t="n"/>
    </row>
    <row r="80">
      <c r="A80" s="305" t="n"/>
      <c r="B80" s="305" t="n"/>
      <c r="C80" s="305" t="n"/>
      <c r="D80" s="305" t="n"/>
      <c r="E80" s="305" t="n"/>
      <c r="F80" s="305" t="n"/>
      <c r="G80" s="305" t="n"/>
      <c r="H80" s="305" t="n"/>
      <c r="I80" s="305" t="n"/>
      <c r="J80" s="305" t="n"/>
      <c r="K80" s="305" t="n"/>
      <c r="L80" s="317" t="n"/>
      <c r="M80" s="317" t="n"/>
      <c r="N80" s="317" t="n"/>
      <c r="O80" s="317" t="n"/>
      <c r="P80" s="317" t="n"/>
    </row>
    <row r="81">
      <c r="A81" s="305" t="n"/>
      <c r="B81" s="305" t="n"/>
      <c r="C81" s="305" t="n"/>
      <c r="D81" s="305" t="n"/>
      <c r="E81" s="305" t="n"/>
      <c r="F81" s="305" t="n"/>
      <c r="G81" s="305" t="n"/>
      <c r="H81" s="305" t="n"/>
      <c r="I81" s="305" t="n"/>
      <c r="J81" s="305" t="n"/>
      <c r="K81" s="305" t="n"/>
      <c r="L81" s="317" t="n"/>
      <c r="M81" s="317" t="n"/>
      <c r="N81" s="317" t="n"/>
      <c r="O81" s="317" t="n"/>
      <c r="P81" s="317" t="n"/>
    </row>
    <row r="82">
      <c r="A82" s="305" t="n"/>
      <c r="B82" s="305" t="n"/>
      <c r="C82" s="305" t="n"/>
      <c r="D82" s="305" t="n"/>
      <c r="E82" s="305" t="n"/>
      <c r="F82" s="305" t="n"/>
      <c r="G82" s="305" t="n"/>
      <c r="H82" s="305" t="n"/>
      <c r="I82" s="305" t="n"/>
      <c r="J82" s="305" t="n"/>
      <c r="K82" s="305" t="n"/>
      <c r="L82" s="317" t="n"/>
      <c r="M82" s="317" t="n"/>
      <c r="N82" s="317" t="n"/>
      <c r="O82" s="317" t="n"/>
      <c r="P82" s="317" t="n"/>
    </row>
    <row r="83">
      <c r="A83" s="305" t="n"/>
      <c r="B83" s="305" t="n"/>
      <c r="C83" s="305" t="n"/>
      <c r="D83" s="305" t="n"/>
      <c r="E83" s="305" t="n"/>
      <c r="F83" s="305" t="n"/>
      <c r="G83" s="305" t="n"/>
      <c r="H83" s="305" t="n"/>
      <c r="I83" s="305" t="n"/>
      <c r="J83" s="305" t="n"/>
      <c r="K83" s="305" t="n"/>
      <c r="L83" s="317" t="n"/>
      <c r="M83" s="317" t="n"/>
      <c r="N83" s="317" t="n"/>
      <c r="O83" s="317" t="n"/>
      <c r="P83" s="317" t="n"/>
    </row>
    <row r="84">
      <c r="A84" s="305" t="n"/>
      <c r="B84" s="305" t="n"/>
      <c r="C84" s="305" t="n"/>
      <c r="D84" s="305" t="n"/>
      <c r="E84" s="305" t="n"/>
      <c r="F84" s="305" t="n"/>
      <c r="G84" s="305" t="n"/>
      <c r="H84" s="305" t="n"/>
      <c r="I84" s="305" t="n"/>
      <c r="J84" s="305" t="n"/>
      <c r="K84" s="305" t="n"/>
      <c r="L84" s="317" t="n"/>
      <c r="M84" s="317" t="n"/>
      <c r="N84" s="317" t="n"/>
      <c r="O84" s="317" t="n"/>
      <c r="P84" s="317" t="n"/>
    </row>
    <row r="85">
      <c r="A85" s="305" t="n"/>
      <c r="B85" s="305" t="n"/>
      <c r="C85" s="305" t="n"/>
      <c r="D85" s="305" t="n"/>
      <c r="E85" s="305" t="n"/>
      <c r="F85" s="305" t="n"/>
      <c r="G85" s="305" t="n"/>
      <c r="H85" s="305" t="n"/>
      <c r="I85" s="305" t="n"/>
      <c r="J85" s="305" t="n"/>
      <c r="K85" s="305" t="n"/>
      <c r="L85" s="317" t="n"/>
      <c r="M85" s="317" t="n"/>
      <c r="N85" s="317" t="n"/>
      <c r="O85" s="317" t="n"/>
      <c r="P85" s="317" t="n"/>
    </row>
    <row r="86">
      <c r="A86" s="305" t="n"/>
      <c r="B86" s="305" t="n"/>
      <c r="C86" s="305" t="n"/>
      <c r="D86" s="305" t="n"/>
      <c r="E86" s="305" t="n"/>
      <c r="F86" s="305" t="n"/>
      <c r="G86" s="305" t="n"/>
      <c r="H86" s="305" t="n"/>
      <c r="I86" s="305" t="n"/>
      <c r="J86" s="305" t="n"/>
      <c r="K86" s="305" t="n"/>
      <c r="L86" s="317" t="n"/>
      <c r="M86" s="317" t="n"/>
      <c r="N86" s="317" t="n"/>
      <c r="O86" s="317" t="n"/>
      <c r="P86" s="317" t="n"/>
    </row>
    <row r="87">
      <c r="A87" s="305" t="n"/>
      <c r="B87" s="305" t="n"/>
      <c r="C87" s="305" t="n"/>
      <c r="D87" s="305" t="n"/>
      <c r="E87" s="305" t="n"/>
      <c r="F87" s="305" t="n"/>
      <c r="G87" s="305" t="n"/>
      <c r="H87" s="305" t="n"/>
      <c r="I87" s="305" t="n"/>
      <c r="J87" s="305" t="n"/>
      <c r="K87" s="305" t="n"/>
      <c r="L87" s="317" t="n"/>
      <c r="M87" s="317" t="n"/>
      <c r="N87" s="317" t="n"/>
      <c r="O87" s="317" t="n"/>
      <c r="P87" s="317" t="n"/>
    </row>
    <row r="88">
      <c r="A88" s="305" t="n"/>
      <c r="B88" s="305" t="n"/>
      <c r="C88" s="305" t="n"/>
      <c r="D88" s="305" t="n"/>
      <c r="E88" s="305" t="n"/>
      <c r="F88" s="305" t="n"/>
      <c r="G88" s="305" t="n"/>
      <c r="H88" s="305" t="n"/>
      <c r="I88" s="305" t="n"/>
      <c r="J88" s="305" t="n"/>
      <c r="K88" s="305" t="n"/>
      <c r="L88" s="317" t="n"/>
      <c r="M88" s="317" t="n"/>
      <c r="N88" s="317" t="n"/>
      <c r="O88" s="317" t="n"/>
      <c r="P88" s="317" t="n"/>
    </row>
    <row r="89">
      <c r="A89" s="305" t="n"/>
      <c r="B89" s="305" t="n"/>
      <c r="C89" s="305" t="n"/>
      <c r="D89" s="305" t="n"/>
      <c r="E89" s="305" t="n"/>
      <c r="F89" s="305" t="n"/>
      <c r="G89" s="305" t="n"/>
      <c r="H89" s="305" t="n"/>
      <c r="I89" s="305" t="n"/>
      <c r="J89" s="305" t="n"/>
      <c r="K89" s="305" t="n"/>
      <c r="L89" s="317" t="n"/>
      <c r="M89" s="317" t="n"/>
      <c r="N89" s="317" t="n"/>
      <c r="O89" s="317" t="n"/>
      <c r="P89" s="317" t="n"/>
    </row>
    <row r="90">
      <c r="A90" s="305" t="n"/>
      <c r="B90" s="305" t="n"/>
      <c r="C90" s="305" t="n"/>
      <c r="D90" s="305" t="n"/>
      <c r="E90" s="305" t="n"/>
      <c r="F90" s="305" t="n"/>
      <c r="G90" s="305" t="n"/>
      <c r="H90" s="305" t="n"/>
      <c r="I90" s="305" t="n"/>
      <c r="J90" s="305" t="n"/>
      <c r="K90" s="305" t="n"/>
      <c r="L90" s="317" t="n"/>
      <c r="M90" s="317" t="n"/>
      <c r="N90" s="317" t="n"/>
      <c r="O90" s="317" t="n"/>
      <c r="P90" s="317" t="n"/>
    </row>
    <row r="91">
      <c r="A91" s="305" t="n"/>
      <c r="B91" s="305" t="n"/>
      <c r="C91" s="305" t="n"/>
      <c r="D91" s="305" t="n"/>
      <c r="E91" s="305" t="n"/>
      <c r="F91" s="305" t="n"/>
      <c r="G91" s="305" t="n"/>
      <c r="H91" s="305" t="n"/>
      <c r="I91" s="305" t="n"/>
      <c r="J91" s="305" t="n"/>
      <c r="K91" s="305" t="n"/>
      <c r="L91" s="317" t="n"/>
      <c r="M91" s="317" t="n"/>
      <c r="N91" s="317" t="n"/>
      <c r="O91" s="317" t="n"/>
      <c r="P91" s="317" t="n"/>
    </row>
    <row r="92">
      <c r="A92" s="305" t="n"/>
      <c r="B92" s="305" t="n"/>
      <c r="C92" s="305" t="n"/>
      <c r="D92" s="305" t="n"/>
      <c r="E92" s="305" t="n"/>
      <c r="F92" s="305" t="n"/>
      <c r="G92" s="305" t="n"/>
      <c r="H92" s="305" t="n"/>
      <c r="I92" s="305" t="n"/>
      <c r="J92" s="305" t="n"/>
      <c r="K92" s="305" t="n"/>
      <c r="L92" s="317" t="n"/>
      <c r="M92" s="317" t="n"/>
      <c r="N92" s="317" t="n"/>
      <c r="O92" s="317" t="n"/>
      <c r="P92" s="317" t="n"/>
    </row>
    <row r="93">
      <c r="A93" s="305" t="n"/>
      <c r="B93" s="305" t="n"/>
      <c r="C93" s="305" t="n"/>
      <c r="D93" s="305" t="n"/>
      <c r="E93" s="305" t="n"/>
      <c r="F93" s="305" t="n"/>
      <c r="G93" s="305" t="n"/>
      <c r="H93" s="305" t="n"/>
      <c r="I93" s="305" t="n"/>
      <c r="J93" s="305" t="n"/>
      <c r="K93" s="305" t="n"/>
      <c r="L93" s="317" t="n"/>
      <c r="M93" s="317" t="n"/>
      <c r="N93" s="317" t="n"/>
      <c r="O93" s="317" t="n"/>
      <c r="P93" s="317" t="n"/>
    </row>
    <row r="94">
      <c r="A94" s="305" t="n"/>
      <c r="B94" s="305" t="n"/>
      <c r="C94" s="305" t="n"/>
      <c r="D94" s="305" t="n"/>
      <c r="E94" s="305" t="n"/>
      <c r="F94" s="305" t="n"/>
      <c r="G94" s="305" t="n"/>
      <c r="H94" s="305" t="n"/>
      <c r="I94" s="305" t="n"/>
      <c r="J94" s="305" t="n"/>
      <c r="K94" s="305" t="n"/>
      <c r="L94" s="317" t="n"/>
      <c r="M94" s="317" t="n"/>
      <c r="N94" s="317" t="n"/>
      <c r="O94" s="317" t="n"/>
      <c r="P94" s="317" t="n"/>
    </row>
    <row r="95">
      <c r="A95" s="305" t="n"/>
      <c r="B95" s="305" t="n"/>
      <c r="C95" s="305" t="n"/>
      <c r="D95" s="305" t="n"/>
      <c r="E95" s="305" t="n"/>
      <c r="F95" s="305" t="n"/>
      <c r="G95" s="305" t="n"/>
      <c r="H95" s="305" t="n"/>
      <c r="I95" s="305" t="n"/>
      <c r="J95" s="305" t="n"/>
      <c r="K95" s="305" t="n"/>
      <c r="L95" s="317" t="n"/>
      <c r="M95" s="317" t="n"/>
      <c r="N95" s="317" t="n"/>
      <c r="O95" s="317" t="n"/>
      <c r="P95" s="317" t="n"/>
    </row>
    <row r="96">
      <c r="A96" s="305" t="n"/>
      <c r="B96" s="305" t="n"/>
      <c r="C96" s="305" t="n"/>
      <c r="D96" s="305" t="n"/>
      <c r="E96" s="305" t="n"/>
      <c r="F96" s="305" t="n"/>
      <c r="G96" s="305" t="n"/>
      <c r="H96" s="305" t="n"/>
      <c r="I96" s="305" t="n"/>
      <c r="J96" s="305" t="n"/>
      <c r="K96" s="305" t="n"/>
      <c r="L96" s="317" t="n"/>
      <c r="M96" s="317" t="n"/>
      <c r="N96" s="317" t="n"/>
      <c r="O96" s="317" t="n"/>
      <c r="P96" s="317" t="n"/>
    </row>
    <row r="97">
      <c r="A97" s="305" t="n"/>
      <c r="B97" s="305" t="n"/>
      <c r="C97" s="305" t="n"/>
      <c r="D97" s="305" t="n"/>
      <c r="E97" s="305" t="n"/>
      <c r="F97" s="305" t="n"/>
      <c r="G97" s="305" t="n"/>
      <c r="H97" s="305" t="n"/>
      <c r="I97" s="305" t="n"/>
      <c r="J97" s="305" t="n"/>
      <c r="K97" s="305" t="n"/>
      <c r="L97" s="317" t="n"/>
      <c r="M97" s="317" t="n"/>
      <c r="N97" s="317" t="n"/>
      <c r="O97" s="317" t="n"/>
      <c r="P97" s="317" t="n"/>
    </row>
    <row r="98">
      <c r="A98" s="305" t="n"/>
      <c r="B98" s="305" t="n"/>
      <c r="C98" s="305" t="n"/>
      <c r="D98" s="305" t="n"/>
      <c r="E98" s="305" t="n"/>
      <c r="F98" s="305" t="n"/>
      <c r="G98" s="305" t="n"/>
      <c r="H98" s="305" t="n"/>
      <c r="I98" s="305" t="n"/>
      <c r="J98" s="305" t="n"/>
      <c r="K98" s="305" t="n"/>
      <c r="L98" s="317" t="n"/>
      <c r="M98" s="317" t="n"/>
      <c r="N98" s="317" t="n"/>
      <c r="O98" s="317" t="n"/>
      <c r="P98" s="317" t="n"/>
    </row>
    <row r="99">
      <c r="A99" s="305" t="n"/>
      <c r="B99" s="305" t="n"/>
      <c r="C99" s="305" t="n"/>
      <c r="D99" s="305" t="n"/>
      <c r="E99" s="305" t="n"/>
      <c r="F99" s="305" t="n"/>
      <c r="G99" s="305" t="n"/>
      <c r="H99" s="305" t="n"/>
      <c r="I99" s="305" t="n"/>
      <c r="J99" s="305" t="n"/>
      <c r="K99" s="305" t="n"/>
      <c r="L99" s="317" t="n"/>
      <c r="M99" s="317" t="n"/>
      <c r="N99" s="317" t="n"/>
      <c r="O99" s="317" t="n"/>
      <c r="P99" s="317" t="n"/>
    </row>
    <row r="100">
      <c r="A100" s="305" t="n"/>
      <c r="B100" s="305" t="n"/>
      <c r="C100" s="305" t="n"/>
      <c r="D100" s="305" t="n"/>
      <c r="E100" s="305" t="n"/>
      <c r="F100" s="305" t="n"/>
      <c r="G100" s="305" t="n"/>
      <c r="H100" s="305" t="n"/>
      <c r="I100" s="305" t="n"/>
      <c r="J100" s="305" t="n"/>
      <c r="K100" s="305" t="n"/>
      <c r="L100" s="317" t="n"/>
      <c r="M100" s="317" t="n"/>
      <c r="N100" s="317" t="n"/>
      <c r="O100" s="317" t="n"/>
      <c r="P100" s="317" t="n"/>
    </row>
    <row r="101">
      <c r="A101" s="305" t="n"/>
      <c r="B101" s="305" t="n"/>
      <c r="C101" s="305" t="n"/>
      <c r="D101" s="305" t="n"/>
      <c r="E101" s="305" t="n"/>
      <c r="F101" s="305" t="n"/>
      <c r="G101" s="305" t="n"/>
      <c r="H101" s="305" t="n"/>
      <c r="I101" s="305" t="n"/>
      <c r="J101" s="305" t="n"/>
      <c r="K101" s="305" t="n"/>
      <c r="L101" s="317" t="n"/>
      <c r="M101" s="317" t="n"/>
      <c r="N101" s="317" t="n"/>
      <c r="O101" s="317" t="n"/>
      <c r="P101" s="317" t="n"/>
    </row>
    <row r="102">
      <c r="A102" s="305" t="n"/>
      <c r="B102" s="305" t="n"/>
      <c r="C102" s="305" t="n"/>
      <c r="D102" s="305" t="n"/>
      <c r="E102" s="305" t="n"/>
      <c r="F102" s="305" t="n"/>
      <c r="G102" s="305" t="n"/>
      <c r="H102" s="305" t="n"/>
      <c r="I102" s="305" t="n"/>
      <c r="J102" s="305" t="n"/>
      <c r="K102" s="305" t="n"/>
      <c r="L102" s="317" t="n"/>
      <c r="M102" s="317" t="n"/>
      <c r="N102" s="317" t="n"/>
      <c r="O102" s="317" t="n"/>
      <c r="P102" s="317" t="n"/>
    </row>
    <row r="103">
      <c r="A103" s="305" t="n"/>
      <c r="B103" s="305" t="n"/>
      <c r="C103" s="305" t="n"/>
      <c r="D103" s="305" t="n"/>
      <c r="E103" s="305" t="n"/>
      <c r="F103" s="305" t="n"/>
      <c r="G103" s="305" t="n"/>
      <c r="H103" s="305" t="n"/>
      <c r="I103" s="305" t="n"/>
      <c r="J103" s="305" t="n"/>
      <c r="K103" s="305" t="n"/>
      <c r="L103" s="317" t="n"/>
      <c r="M103" s="317" t="n"/>
      <c r="N103" s="317" t="n"/>
      <c r="O103" s="317" t="n"/>
      <c r="P103" s="317" t="n"/>
    </row>
    <row r="104">
      <c r="A104" s="305" t="n"/>
      <c r="B104" s="305" t="n"/>
      <c r="C104" s="305" t="n"/>
      <c r="D104" s="305" t="n"/>
      <c r="E104" s="305" t="n"/>
      <c r="F104" s="305" t="n"/>
      <c r="G104" s="305" t="n"/>
      <c r="H104" s="305" t="n"/>
      <c r="I104" s="305" t="n"/>
      <c r="J104" s="305" t="n"/>
      <c r="K104" s="305" t="n"/>
      <c r="L104" s="317" t="n"/>
      <c r="M104" s="317" t="n"/>
      <c r="N104" s="317" t="n"/>
      <c r="O104" s="317" t="n"/>
      <c r="P104" s="317" t="n"/>
    </row>
    <row r="105">
      <c r="A105" s="306" t="inlineStr">
        <is>
          <t>TOTAL</t>
        </is>
      </c>
      <c r="B105" s="307" t="n"/>
      <c r="C105" s="307" t="n"/>
      <c r="D105" s="155">
        <f>SUM(D4:D104)</f>
        <v/>
      </c>
      <c r="E105" s="155">
        <f>SUM(E4:E104)</f>
        <v/>
      </c>
      <c r="F105" s="155">
        <f>SUM(F4:F104)</f>
        <v/>
      </c>
      <c r="G105" s="155">
        <f>SUM(G4:G104)</f>
        <v/>
      </c>
      <c r="H105" s="155">
        <f>SUM(H4:H104)</f>
        <v/>
      </c>
      <c r="I105" s="155">
        <f>SUM(I4:I104)</f>
        <v/>
      </c>
      <c r="J105" s="155">
        <f>SUM(J4:J104)</f>
        <v/>
      </c>
      <c r="K105" s="306" t="n"/>
      <c r="L105" s="317">
        <f>SUM(L4:L104)</f>
        <v/>
      </c>
      <c r="M105" s="317" t="n"/>
      <c r="N105" s="317" t="n"/>
      <c r="O105" s="317" t="n"/>
      <c r="P105" s="317" t="n"/>
    </row>
    <row r="106">
      <c r="A106" s="317" t="n"/>
      <c r="B106" s="317" t="n"/>
      <c r="C106" s="317" t="n"/>
      <c r="D106" s="317" t="n"/>
      <c r="E106" s="317" t="n"/>
      <c r="F106" s="317" t="n"/>
      <c r="G106" s="317" t="n"/>
      <c r="H106" s="317" t="n"/>
      <c r="I106" s="317" t="n"/>
      <c r="J106" s="317" t="n"/>
      <c r="K106" s="317" t="n"/>
      <c r="L106" s="317" t="n"/>
      <c r="M106" s="317" t="n"/>
      <c r="N106" s="317" t="n"/>
      <c r="O106" s="317" t="n"/>
      <c r="P106" s="317" t="n"/>
    </row>
    <row r="107" ht="18" customHeight="1">
      <c r="A107" s="312" t="inlineStr">
        <is>
          <t>PAYROLL APPROVAL</t>
        </is>
      </c>
      <c r="B107" s="313" t="n"/>
      <c r="C107" s="313" t="n"/>
      <c r="D107" s="313" t="n"/>
      <c r="E107" s="313" t="n"/>
      <c r="F107" s="313" t="n"/>
      <c r="G107" s="313" t="n"/>
      <c r="H107" s="313" t="n"/>
      <c r="I107" s="313" t="n"/>
      <c r="J107" s="314" t="n"/>
      <c r="K107" s="317" t="n"/>
      <c r="L107" s="317" t="n"/>
      <c r="M107" s="317" t="n"/>
      <c r="N107" s="317" t="n"/>
      <c r="O107" s="317" t="n"/>
      <c r="P107" s="317" t="n"/>
    </row>
    <row r="108" ht="18" customHeight="1">
      <c r="A108" s="308" t="inlineStr">
        <is>
          <t>Pay Period Start:</t>
        </is>
      </c>
      <c r="B108" s="309" t="n"/>
      <c r="C108" s="315" t="n"/>
      <c r="D108" s="313" t="n"/>
      <c r="E108" s="314" t="n"/>
      <c r="F108" s="308" t="inlineStr">
        <is>
          <t>Pay Period End:</t>
        </is>
      </c>
      <c r="G108" s="309" t="n"/>
      <c r="H108" s="315" t="n"/>
      <c r="I108" s="313" t="n"/>
      <c r="J108" s="314" t="n"/>
      <c r="K108" s="317" t="n"/>
      <c r="L108" s="317" t="n"/>
      <c r="M108" s="317" t="n"/>
      <c r="N108" s="317" t="n"/>
      <c r="O108" s="317" t="n"/>
      <c r="P108" s="317" t="n"/>
    </row>
    <row r="109" ht="18" customHeight="1">
      <c r="A109" s="308" t="inlineStr">
        <is>
          <t>Prepared By:</t>
        </is>
      </c>
      <c r="B109" s="309" t="n"/>
      <c r="C109" s="315" t="n"/>
      <c r="D109" s="313" t="n"/>
      <c r="E109" s="314" t="n"/>
      <c r="F109" s="308" t="inlineStr">
        <is>
          <t>Prepared Date:</t>
        </is>
      </c>
      <c r="G109" s="309" t="n"/>
      <c r="H109" s="315" t="n"/>
      <c r="I109" s="313" t="n"/>
      <c r="J109" s="314" t="n"/>
      <c r="K109" s="317" t="n"/>
      <c r="L109" s="317" t="n"/>
      <c r="M109" s="317" t="n"/>
      <c r="N109" s="317" t="n"/>
      <c r="O109" s="317" t="n"/>
      <c r="P109" s="317" t="n"/>
    </row>
    <row r="110" ht="18" customHeight="1">
      <c r="A110" s="308" t="inlineStr">
        <is>
          <t>Checked By:</t>
        </is>
      </c>
      <c r="B110" s="309" t="n"/>
      <c r="C110" s="315" t="n"/>
      <c r="D110" s="313" t="n"/>
      <c r="E110" s="314" t="n"/>
      <c r="F110" s="308" t="inlineStr">
        <is>
          <t>Checked Date:</t>
        </is>
      </c>
      <c r="G110" s="309" t="n"/>
      <c r="H110" s="315" t="n"/>
      <c r="I110" s="313" t="n"/>
      <c r="J110" s="314" t="n"/>
      <c r="K110" s="317" t="n"/>
      <c r="L110" s="317" t="n"/>
      <c r="M110" s="317" t="n"/>
      <c r="N110" s="317" t="n"/>
      <c r="O110" s="317" t="n"/>
      <c r="P110" s="317" t="n"/>
    </row>
    <row r="111" ht="18" customHeight="1">
      <c r="A111" s="308" t="inlineStr">
        <is>
          <t>Approved By:</t>
        </is>
      </c>
      <c r="B111" s="309" t="n"/>
      <c r="C111" s="315" t="n"/>
      <c r="D111" s="313" t="n"/>
      <c r="E111" s="314" t="n"/>
      <c r="F111" s="308" t="inlineStr">
        <is>
          <t>Approved Date:</t>
        </is>
      </c>
      <c r="G111" s="309" t="n"/>
      <c r="H111" s="315" t="n"/>
      <c r="I111" s="313" t="n"/>
      <c r="J111" s="314" t="n"/>
      <c r="K111" s="317" t="n"/>
      <c r="L111" s="317" t="n"/>
      <c r="M111" s="317" t="n"/>
      <c r="N111" s="317" t="n"/>
      <c r="O111" s="317" t="n"/>
      <c r="P111" s="317" t="n"/>
    </row>
    <row r="112" ht="18" customHeight="1">
      <c r="A112" s="308" t="inlineStr">
        <is>
          <t>Payment Method / Bank:</t>
        </is>
      </c>
      <c r="B112" s="309" t="n"/>
      <c r="C112" s="315" t="n"/>
      <c r="D112" s="313" t="n"/>
      <c r="E112" s="314" t="n"/>
      <c r="F112" s="308" t="inlineStr">
        <is>
          <t>Total Net Pay:</t>
        </is>
      </c>
      <c r="G112" s="309" t="n"/>
      <c r="H112" s="315" t="n"/>
      <c r="I112" s="313" t="n"/>
      <c r="J112" s="314" t="n"/>
      <c r="K112" s="317" t="n"/>
      <c r="L112" s="317" t="n"/>
      <c r="M112" s="317" t="n"/>
      <c r="N112" s="317" t="n"/>
      <c r="O112" s="317" t="n"/>
      <c r="P112" s="317" t="n"/>
    </row>
    <row r="113" ht="45" customHeight="1">
      <c r="A113" s="308" t="inlineStr">
        <is>
          <t>Notes:</t>
        </is>
      </c>
      <c r="B113" s="309" t="n"/>
      <c r="C113" s="315" t="n"/>
      <c r="D113" s="313" t="n"/>
      <c r="E113" s="314" t="n"/>
      <c r="F113" s="315" t="n"/>
      <c r="G113" s="313" t="n"/>
      <c r="H113" s="313" t="n"/>
      <c r="I113" s="313" t="n"/>
      <c r="J113" s="314" t="n"/>
      <c r="K113" s="317" t="n"/>
      <c r="L113" s="317" t="n"/>
      <c r="M113" s="317" t="n"/>
      <c r="N113" s="317" t="n"/>
      <c r="O113" s="317" t="n"/>
      <c r="P113" s="317" t="n"/>
    </row>
    <row r="114" ht="18" customHeight="1">
      <c r="A114" s="317" t="n"/>
      <c r="B114" s="317" t="n"/>
      <c r="C114" s="317" t="n"/>
      <c r="D114" s="317" t="n"/>
      <c r="E114" s="317" t="n"/>
      <c r="F114" s="317" t="n"/>
      <c r="G114" s="317" t="n"/>
      <c r="H114" s="317" t="n"/>
      <c r="I114" s="317" t="n"/>
      <c r="J114" s="317" t="n"/>
      <c r="K114" s="317" t="n"/>
      <c r="L114" s="317" t="n"/>
      <c r="M114" s="317" t="n"/>
      <c r="N114" s="317" t="n"/>
      <c r="O114" s="317" t="n"/>
      <c r="P114" s="317" t="n"/>
    </row>
    <row r="115" ht="18" customHeight="1">
      <c r="A115" s="310" t="inlineStr">
        <is>
          <t>Signatures (if required):</t>
        </is>
      </c>
      <c r="B115" s="315" t="n"/>
      <c r="C115" s="313" t="n"/>
      <c r="D115" s="313" t="n"/>
      <c r="E115" s="313" t="n"/>
      <c r="F115" s="313" t="n"/>
      <c r="G115" s="313" t="n"/>
      <c r="H115" s="313" t="n"/>
      <c r="I115" s="313" t="n"/>
      <c r="J115" s="314" t="n"/>
      <c r="K115" s="317" t="n"/>
      <c r="L115" s="317" t="n"/>
      <c r="M115" s="317" t="n"/>
      <c r="N115" s="317" t="n"/>
      <c r="O115" s="317" t="n"/>
      <c r="P115" s="317" t="n"/>
    </row>
    <row r="116" ht="18" customHeight="1">
      <c r="A116" s="315" t="inlineStr">
        <is>
          <t>I confirm the above payroll has been reviewed and approved for processing.</t>
        </is>
      </c>
      <c r="B116" s="313" t="n"/>
      <c r="C116" s="313" t="n"/>
      <c r="D116" s="313" t="n"/>
      <c r="E116" s="313" t="n"/>
      <c r="F116" s="313" t="n"/>
      <c r="G116" s="313" t="n"/>
      <c r="H116" s="313" t="n"/>
      <c r="I116" s="313" t="n"/>
      <c r="J116" s="314" t="n"/>
      <c r="K116" s="317" t="n"/>
      <c r="L116" s="317" t="n"/>
      <c r="M116" s="317" t="n"/>
      <c r="N116" s="317" t="n"/>
      <c r="O116" s="317" t="n"/>
      <c r="P116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16">
    <mergeCell ref="A107:J107"/>
    <mergeCell ref="C112:E112"/>
    <mergeCell ref="A1:J1"/>
    <mergeCell ref="A116:J116"/>
    <mergeCell ref="H112:J112"/>
    <mergeCell ref="C110:E110"/>
    <mergeCell ref="F113:J113"/>
    <mergeCell ref="B115:J115"/>
    <mergeCell ref="H108:J108"/>
    <mergeCell ref="H110:J110"/>
    <mergeCell ref="C111:E111"/>
    <mergeCell ref="H111:J111"/>
    <mergeCell ref="C113:E113"/>
    <mergeCell ref="C108:E108"/>
    <mergeCell ref="C109:E109"/>
    <mergeCell ref="H109:J109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workbookViewId="0">
      <selection activeCell="A1" sqref="A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17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n"/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 xml:space="preserve">Claudette Yearwood 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1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168" t="inlineStr">
        <is>
          <t>Hrs</t>
        </is>
      </c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17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17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168" t="inlineStr">
        <is>
          <t>Hrs</t>
        </is>
      </c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17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n"/>
      <c r="V12" s="317" t="n"/>
      <c r="W12" s="317" t="n"/>
      <c r="X12" s="317" t="n"/>
      <c r="Y12" s="317" t="n"/>
      <c r="Z12" s="317" t="n"/>
      <c r="AA12" s="317" t="n"/>
      <c r="AB12" s="317" t="n"/>
      <c r="AC12" s="317" t="n"/>
      <c r="AD12" s="317" t="n"/>
      <c r="AE12" s="317" t="n"/>
      <c r="AF12" s="317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Annual Leave</t>
        </is>
      </c>
      <c r="B14" s="184" t="n"/>
      <c r="C14" s="348">
        <f>M10</f>
        <v/>
      </c>
      <c r="D14" s="68" t="n">
        <v>0.2916666666666667</v>
      </c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inlineStr">
        <is>
          <t>Nept P1</t>
        </is>
      </c>
      <c r="K14" s="188" t="inlineStr">
        <is>
          <t>John Daniels</t>
        </is>
      </c>
      <c r="L14" s="189" t="b">
        <v>0</v>
      </c>
      <c r="M14" s="144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N14" s="70">
        <f>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MAX(0,$I14-$M14)
  )))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 t="n"/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 t="n"/>
      <c r="V14" s="190" t="n"/>
      <c r="W14" s="190" t="n"/>
      <c r="X14" s="190" t="n"/>
      <c r="Y14" s="190" t="n"/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IF(D15=0,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b">
        <v>0</v>
      </c>
      <c r="M15" s="144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N15" s="75">
        <f>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MAX(0,$I15-$M15)
  )))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 t="n"/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 t="n"/>
      <c r="V15" s="190" t="n"/>
      <c r="W15" s="190" t="n"/>
      <c r="X15" s="190" t="n"/>
      <c r="Y15" s="190" t="n"/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IF(D16=0,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b">
        <v>0</v>
      </c>
      <c r="M16" s="145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N16" s="15">
        <f>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MAX(0,$I16-$M16)
  )))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 t="n"/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 t="n"/>
      <c r="V16" s="317" t="n"/>
      <c r="W16" s="317" t="n"/>
      <c r="X16" s="317" t="n"/>
      <c r="Y16" s="317" t="n"/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>
        <v>0.7916666666666666</v>
      </c>
      <c r="E17" s="199">
        <f>IF(D17=0,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inlineStr">
        <is>
          <t xml:space="preserve">  </t>
        </is>
      </c>
      <c r="M17" s="145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N17" s="18">
        <f>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MAX(0,$I17-$M17)
  )))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 t="n"/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 t="n"/>
      <c r="V17" s="317" t="n"/>
      <c r="W17" s="317" t="n"/>
      <c r="X17" s="317" t="n"/>
      <c r="Y17" s="317" t="inlineStr">
        <is>
          <t xml:space="preserve"> </t>
        </is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IF(D18=0,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b">
        <v>0</v>
      </c>
      <c r="M18" s="146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N18" s="44">
        <f>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MAX(0,$I18-$M18)
  )))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 t="n"/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 t="n"/>
      <c r="V18" s="317" t="n"/>
      <c r="W18" s="317" t="n"/>
      <c r="X18" s="317" t="n"/>
      <c r="Y18" s="317" t="n"/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>
        <v>0.7916666666666666</v>
      </c>
      <c r="E19" s="207">
        <f>IF(D19=0,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b">
        <v>0</v>
      </c>
      <c r="M19" s="146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N19" s="49">
        <f>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MAX(0,$I19-$M19)
  )))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 t="n"/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 t="n"/>
      <c r="V19" s="317" t="n"/>
      <c r="W19" s="317" t="n"/>
      <c r="X19" s="317" t="n"/>
      <c r="Y19" s="317" t="n"/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IF(D20=0,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b">
        <v>0</v>
      </c>
      <c r="M20" s="14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N20" s="53">
        <f>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MAX(0,$I20-$M20)
  )))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 t="n"/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 t="n"/>
      <c r="V20" s="317" t="n"/>
      <c r="W20" s="317" t="n"/>
      <c r="X20" s="317" t="n"/>
      <c r="Y20" s="317" t="n"/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>
        <v>0.7916666666666666</v>
      </c>
      <c r="E21" s="215">
        <f>IF(D21=0,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b">
        <v>0</v>
      </c>
      <c r="M21" s="14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N21" s="56">
        <f>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MAX(0,$I21-$M21)
  )))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 t="n"/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 t="n"/>
      <c r="V21" s="317" t="n"/>
      <c r="W21" s="317" t="n"/>
      <c r="X21" s="317" t="n"/>
      <c r="Y21" s="317" t="n"/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>
        <v>0.2916666666666667</v>
      </c>
      <c r="E22" s="219">
        <f>IF(D22=0,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b">
        <v>0</v>
      </c>
      <c r="M22" s="148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N22" s="60">
        <f>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MAX(0,$I22-$M22)
  )))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 t="n"/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 t="n"/>
      <c r="V22" s="317" t="n"/>
      <c r="W22" s="317" t="n"/>
      <c r="X22" s="317" t="n"/>
      <c r="Y22" s="317" t="n"/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>
        <v>0.625</v>
      </c>
      <c r="E23" s="223">
        <f>IF(D23=0,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b">
        <v>0</v>
      </c>
      <c r="M23" s="148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N23" s="65">
        <f>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MAX(0,$I23-$M23)
  )))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 t="n"/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 t="n"/>
      <c r="V23" s="317" t="n"/>
      <c r="W23" s="317" t="n"/>
      <c r="X23" s="317" t="n"/>
      <c r="Y23" s="317" t="n"/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>
        <v>0.2916666666666667</v>
      </c>
      <c r="E24" s="195">
        <f>IF(D24=0,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b">
        <v>0</v>
      </c>
      <c r="M24" s="145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N24" s="15">
        <f>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MAX(0,$I24-$M24)
  )))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 t="n"/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 t="n"/>
      <c r="V24" s="317" t="n"/>
      <c r="W24" s="317" t="n"/>
      <c r="X24" s="317" t="n"/>
      <c r="Y24" s="317" t="n"/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>
        <v>0.625</v>
      </c>
      <c r="E25" s="199">
        <f>IF(D25=0,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b">
        <v>0</v>
      </c>
      <c r="M25" s="145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N25" s="18">
        <f>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MAX(0,$I25-$M25)
  )))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 t="n"/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 t="n"/>
      <c r="V25" s="317" t="n"/>
      <c r="W25" s="317" t="n"/>
      <c r="X25" s="317" t="n"/>
      <c r="Y25" s="317" t="n"/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>
        <v>0.2916666666666667</v>
      </c>
      <c r="E26" s="203">
        <f>IF(D26=0,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b">
        <v>0</v>
      </c>
      <c r="M26" s="146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N26" s="44">
        <f>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MAX(0,$I26-$M26)
  )))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 t="n"/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 t="n"/>
      <c r="V26" s="317" t="n"/>
      <c r="W26" s="317" t="n"/>
      <c r="X26" s="317" t="n"/>
      <c r="Y26" s="317" t="n"/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IF(D27=0,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b">
        <v>0</v>
      </c>
      <c r="M27" s="146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N27" s="49">
        <f>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MAX(0,$I27-$M27)
  )))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 t="n"/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 t="n"/>
      <c r="V27" s="317" t="n"/>
      <c r="W27" s="317" t="n"/>
      <c r="X27" s="317" t="n"/>
      <c r="Y27" s="317" t="n"/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 t="n"/>
      <c r="F28" s="12" t="n"/>
      <c r="G28" s="12" t="n"/>
      <c r="H28" s="328" t="n"/>
      <c r="I28" s="317" t="n"/>
      <c r="J28" s="328" t="n"/>
      <c r="K28" s="328" t="n"/>
      <c r="L28" s="328" t="n"/>
      <c r="M28" s="356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N28" s="356">
        <f>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MAX(0,$I28-$M28)
  )))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7" t="n"/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 t="n"/>
      <c r="V28" s="317" t="n"/>
      <c r="W28" s="317" t="n"/>
      <c r="X28" s="317" t="n"/>
      <c r="Y28" s="317" t="n"/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IF(D29=0,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N29" s="6">
        <f>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MAX(0,$I29-$M29)
  )))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12" t="n"/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 t="n"/>
      <c r="V29" s="317" t="n"/>
      <c r="W29" s="317" t="n"/>
      <c r="X29" s="317" t="n"/>
      <c r="Y29" s="317" t="n"/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>
        <v>0.2916666666666667</v>
      </c>
      <c r="E30" s="185">
        <f>IF(D30=0,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b">
        <v>0</v>
      </c>
      <c r="M30" s="144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N30" s="70">
        <f>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MAX(0,$I30-$M30)
  )))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 t="n"/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 t="n"/>
      <c r="V30" s="190" t="n"/>
      <c r="W30" s="190" t="n"/>
      <c r="X30" s="190" t="n"/>
      <c r="Y30" s="190" t="n"/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inlineStr">
        <is>
          <t>Dps</t>
        </is>
      </c>
      <c r="E31" s="191">
        <f>IF(D31=0,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b">
        <v>0</v>
      </c>
      <c r="M31" s="144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N31" s="75">
        <f>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MAX(0,$I31-$M31)
  )))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 t="n"/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 t="n"/>
      <c r="V31" s="190" t="n"/>
      <c r="W31" s="190" t="n"/>
      <c r="X31" s="190" t="n"/>
      <c r="Y31" s="190" t="n"/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>
        <v>0.2916666666666667</v>
      </c>
      <c r="E32" s="237">
        <f>IF(D32=0,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b">
        <v>0</v>
      </c>
      <c r="M32" s="149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N32" s="21">
        <f>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MAX(0,$I32-$M32)
  )))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 t="n"/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 t="n"/>
      <c r="V32" s="317" t="n"/>
      <c r="W32" s="317" t="n"/>
      <c r="X32" s="317" t="n"/>
      <c r="Y32" s="317" t="n"/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>
        <v>0.625</v>
      </c>
      <c r="E33" s="243">
        <f>IF(D33=0,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b">
        <v>0</v>
      </c>
      <c r="M33" s="149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N33" s="23">
        <f>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MAX(0,$I33-$M33)
  )))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 t="n"/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 t="n"/>
      <c r="V33" s="317" t="n"/>
      <c r="W33" s="317" t="n"/>
      <c r="X33" s="317" t="n"/>
      <c r="Y33" s="317" t="n"/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>
        <v>0.2916666666666667</v>
      </c>
      <c r="E34" s="203">
        <f>IF(D34=0,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b">
        <v>0</v>
      </c>
      <c r="M34" s="146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N34" s="44">
        <f>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MAX(0,$I34-$M34)
  )))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 t="n"/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 t="n"/>
      <c r="V34" s="317" t="n"/>
      <c r="W34" s="317" t="n"/>
      <c r="X34" s="317" t="n"/>
      <c r="Y34" s="317" t="n"/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>
        <v>0.625</v>
      </c>
      <c r="E35" s="207">
        <f>IF(D35=0,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b">
        <v>0</v>
      </c>
      <c r="M35" s="146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N35" s="49">
        <f>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MAX(0,$I35-$M35)
  )))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 t="n"/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 t="n"/>
      <c r="V35" s="317" t="n"/>
      <c r="W35" s="317" t="n"/>
      <c r="X35" s="317" t="n"/>
      <c r="Y35" s="317" t="n"/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>
        <v>0.2916666666666667</v>
      </c>
      <c r="E36" s="195">
        <f>IF(D36=0,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b">
        <v>0</v>
      </c>
      <c r="M36" s="145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N36" s="15">
        <f>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MAX(0,$I36-$M36)
  )))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 t="n"/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 t="n"/>
      <c r="V36" s="317" t="n"/>
      <c r="W36" s="317" t="n"/>
      <c r="X36" s="317" t="n"/>
      <c r="Y36" s="317" t="n"/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>
        <v>0.625</v>
      </c>
      <c r="E37" s="199">
        <f>IF(D37=0,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b">
        <v>0</v>
      </c>
      <c r="M37" s="145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N37" s="18">
        <f>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MAX(0,$I37-$M37)
  )))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 t="n"/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 t="n"/>
      <c r="V37" s="317" t="n"/>
      <c r="W37" s="317" t="n"/>
      <c r="X37" s="317" t="n"/>
      <c r="Y37" s="317" t="n"/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>
        <v>0.2916666666666667</v>
      </c>
      <c r="E38" s="251">
        <f>IF(D38=0,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b">
        <v>0</v>
      </c>
      <c r="M38" s="150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N38" s="80">
        <f>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MAX(0,$I38-$M38)
  )))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 t="n"/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 t="n"/>
      <c r="V38" s="317" t="n"/>
      <c r="W38" s="317" t="n"/>
      <c r="X38" s="317" t="n"/>
      <c r="Y38" s="317" t="n"/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>
        <v>0.625</v>
      </c>
      <c r="E39" s="256">
        <f>IF(D39=0,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b">
        <v>0</v>
      </c>
      <c r="M39" s="150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N39" s="85">
        <f>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MAX(0,$I39-$M39)
  )))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 t="n"/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 t="n"/>
      <c r="V39" s="317" t="n"/>
      <c r="W39" s="317" t="n"/>
      <c r="X39" s="317" t="n"/>
      <c r="Y39" s="317" t="n"/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>
        <v>0.2916666666666667</v>
      </c>
      <c r="E40" s="260">
        <f>IF(D40=0,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b">
        <v>0</v>
      </c>
      <c r="M40" s="151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N40" s="89">
        <f>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MAX(0,$I40-$M40)
  )))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 t="n"/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 t="n"/>
      <c r="V40" s="317" t="n"/>
      <c r="W40" s="317" t="n"/>
      <c r="X40" s="317" t="n"/>
      <c r="Y40" s="317" t="n"/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>
        <v>0.625</v>
      </c>
      <c r="E41" s="265">
        <f>IF(D41=0,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b">
        <v>0</v>
      </c>
      <c r="M41" s="151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N41" s="92">
        <f>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MAX(0,$I41-$M41)
  )))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 t="n"/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 t="n"/>
      <c r="V41" s="317" t="n"/>
      <c r="W41" s="317" t="n"/>
      <c r="X41" s="317" t="n"/>
      <c r="Y41" s="317" t="n"/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IF(D42=0,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b">
        <v>0</v>
      </c>
      <c r="M42" s="152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N42" s="27">
        <f>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MAX(0,$I42-$M42)
  )))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 t="n"/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 t="n"/>
      <c r="V42" s="317" t="n"/>
      <c r="W42" s="317" t="n"/>
      <c r="X42" s="317" t="n"/>
      <c r="Y42" s="317" t="n"/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IF(D43=0,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b">
        <v>0</v>
      </c>
      <c r="M43" s="152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N43" s="30">
        <f>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MAX(0,$I43-$M43)
  )))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 t="n"/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 t="n"/>
      <c r="V43" s="317" t="n"/>
      <c r="W43" s="317" t="n"/>
      <c r="X43" s="317" t="n"/>
      <c r="Y43" s="317" t="n"/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 t="n"/>
      <c r="F44" s="278" t="n"/>
      <c r="G44" s="131" t="n"/>
      <c r="H44" s="131" t="n"/>
      <c r="I44" s="279" t="n"/>
      <c r="J44" s="279" t="n"/>
      <c r="K44" s="279" t="n"/>
      <c r="L44" s="279" t="n"/>
      <c r="M44" s="132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N44" s="133">
        <f>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MAX(0,$I44-$M44)
  )))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4" t="n"/>
      <c r="Q44" s="134" t="n"/>
      <c r="R44" s="134" t="n"/>
      <c r="S44" s="133">
        <f>IF(OR($A44="Annual Leave",$A45="Annual Leave"),IF($A44="Annual Leave",8,0),0)</f>
        <v/>
      </c>
      <c r="T44" s="135" t="n"/>
      <c r="U44" s="179" t="n"/>
      <c r="V44" s="317" t="n"/>
      <c r="W44" s="317" t="n"/>
      <c r="X44" s="317" t="n"/>
      <c r="Y44" s="317" t="n"/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IF(D45=0,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b">
        <v>0</v>
      </c>
      <c r="M45" s="145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N45" s="8">
        <f>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MAX(0,$I45-$M45)
  )))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 t="n"/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 t="n"/>
      <c r="V45" s="317" t="n"/>
      <c r="W45" s="317" t="n"/>
      <c r="X45" s="317" t="n"/>
      <c r="Y45" s="317" t="n"/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IF(D46=0,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b">
        <v>0</v>
      </c>
      <c r="M46" s="145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N46" s="99">
        <f>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MAX(0,$I46-$M46)
  )))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 t="n"/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 t="n"/>
      <c r="V46" s="317" t="n"/>
      <c r="W46" s="317" t="n"/>
      <c r="X46" s="317" t="n"/>
      <c r="Y46" s="317" t="n"/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IF(D47=0,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b">
        <v>0</v>
      </c>
      <c r="M47" s="149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N47" s="102">
        <f>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MAX(0,$I47-$M47)
  )))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 t="n"/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 t="n"/>
      <c r="V47" s="317" t="n"/>
      <c r="W47" s="317" t="n"/>
      <c r="X47" s="317" t="n"/>
      <c r="Y47" s="317" t="n"/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IF(D48=0,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b">
        <v>0</v>
      </c>
      <c r="M48" s="153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N48" s="23">
        <f>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MAX(0,$I48-$M48)
  )))</f>
        <v/>
      </c>
      <c r="O48" s="10" t="n"/>
      <c r="P48" s="292" t="n"/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 t="n"/>
      <c r="V48" s="317" t="n"/>
      <c r="W48" s="317" t="n"/>
      <c r="X48" s="317" t="n"/>
      <c r="Y48" s="317" t="n"/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 t="n"/>
      <c r="V49" s="317" t="n"/>
      <c r="W49" s="317" t="n"/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Employee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K6" sqref="K6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2744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Nelson, Keshia Andrea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46023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H53" sqref="H53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4469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Abel, Natalie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J57" sqref="J57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5255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April, Candica Alicia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8" workbookViewId="0">
      <selection activeCell="L45" sqref="L45:L48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5520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Beharry, Akeela Ashanti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Employee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I52" sqref="I52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4031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Charles, Maisha Renitta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4" sqref="I54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5367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Eastman, Dennis Rickford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I55" sqref="I55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5062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Eastman, Dorritte Anita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5509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Hector, Aaliyah Anastacia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C52" sqref="C52:E52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5508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Hector, Onicka Felicity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H56" sqref="H56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5134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Lawrence, Stephen Rawle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1" sqref="H51:I5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4465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Lawson, Delicia Alicia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K57" sqref="K57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3767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Lewis, Tahandica Fennela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4" sqref="I54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4885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Parris, Ceyon Nickosie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1" sqref="H51:I5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2826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Phoenix, Ryan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8" sqref="J58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4850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Pollard, Lotoya Letitia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I55" sqref="I55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4658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Reynolds, Kevin Timothy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C52" sqref="C52:E52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5466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Roberts, Odetta Kenesia Shannele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4784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Robinson, Candacy Olivia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H58" sqref="H58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5510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Spencer, Renita Denita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J57" sqref="J57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5113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Blake, Bevon Natifa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5" sqref="J55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5408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Smith, Tiffany Natalya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L54" sqref="L54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1105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Ash, Carol Veronica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1" sqref="H51:I5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2425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Cromwell, Dexter Oliver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6" workbookViewId="0">
      <selection activeCell="H57" sqref="H57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4087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Grant, Earl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H51" sqref="H51:I5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2697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Harry, Dennis Eleazar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6" sqref="I56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4959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Inniss, Euci Patrice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J56" sqref="J56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3219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Khan, Ahmad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K56" sqref="K56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inlineStr">
        <is>
          <t>5478</t>
        </is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Vincent, Fucien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45977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>
        <f>SUM(T14:T27)</f>
        <v/>
      </c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96875" customWidth="1" min="1" max="1"/>
    <col width="15.09765625" customWidth="1" min="2" max="2"/>
    <col width="12.3984375" customWidth="1" min="3" max="3"/>
    <col width="9.296875" customWidth="1" min="4" max="4"/>
    <col hidden="1" width="9.296875" customWidth="1" min="5" max="5"/>
    <col hidden="1" width="2" customWidth="1" min="6" max="6"/>
    <col hidden="1" width="12.59765625" customWidth="1" min="7" max="7"/>
    <col width="9.296875" customWidth="1" min="8" max="8"/>
    <col width="6.59765625" customWidth="1" min="9" max="9"/>
    <col width="10.09765625" customWidth="1" min="10" max="10"/>
    <col width="15.296875" customWidth="1" min="11" max="11"/>
    <col width="10.59765625" customWidth="1" min="12" max="12"/>
    <col width="11" customWidth="1" min="13" max="13"/>
    <col width="9.8984375" customWidth="1" min="14" max="14"/>
    <col width="11.09765625" customWidth="1" min="15" max="15"/>
    <col width="9.8984375" customWidth="1" min="16" max="16"/>
    <col width="10.296875" customWidth="1" min="17" max="17"/>
    <col width="8.8984375" customWidth="1" min="18" max="19"/>
    <col width="45.296875" customWidth="1" min="20" max="20"/>
    <col width="9.09765625" customWidth="1" min="21" max="21"/>
    <col width="3.09765625" customWidth="1" min="22" max="29"/>
    <col width="10.296875" customWidth="1" min="30" max="30"/>
  </cols>
  <sheetData>
    <row r="1" ht="32.25" customFormat="1" customHeight="1" s="1" thickBot="1">
      <c r="A1" s="331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2" t="n"/>
      <c r="M1" s="332" t="n"/>
      <c r="N1" s="332" t="n"/>
      <c r="O1" s="332" t="n"/>
      <c r="P1" s="332" t="n"/>
      <c r="Q1" s="332" t="n"/>
      <c r="R1" s="332" t="n"/>
      <c r="S1" s="332" t="n"/>
      <c r="T1" s="327" t="n"/>
      <c r="U1" s="317" t="n"/>
      <c r="V1" s="317" t="n"/>
      <c r="W1" s="317" t="n"/>
      <c r="X1" s="317" t="n"/>
      <c r="Y1" s="317" t="n"/>
      <c r="Z1" s="317" t="n"/>
      <c r="AA1" s="317" t="n"/>
      <c r="AB1" s="317" t="n"/>
      <c r="AC1" s="317" t="n"/>
      <c r="AD1" s="157" t="n"/>
      <c r="AE1" s="317" t="n"/>
      <c r="AF1" s="317" t="n"/>
    </row>
    <row r="2" ht="15" customFormat="1" customHeight="1" s="1">
      <c r="A2" s="317" t="n"/>
      <c r="B2" s="317" t="n"/>
      <c r="C2" s="158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9" t="n"/>
      <c r="U2" s="317" t="n"/>
      <c r="V2" s="320" t="n">
        <v>2025</v>
      </c>
      <c r="W2" s="321" t="n"/>
      <c r="X2" s="317" t="n"/>
      <c r="Y2" s="317" t="n"/>
      <c r="Z2" s="160" t="inlineStr">
        <is>
          <t>Month:</t>
        </is>
      </c>
      <c r="AA2" s="320" t="n">
        <v>3</v>
      </c>
      <c r="AB2" s="321" t="n"/>
      <c r="AC2" s="317" t="n"/>
      <c r="AD2" s="317" t="n"/>
      <c r="AE2" s="317" t="n"/>
      <c r="AF2" s="317" t="n"/>
    </row>
    <row r="3" ht="15.65" customHeight="1" thickBot="1">
      <c r="A3" s="317" t="n"/>
      <c r="B3" s="31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17" t="n"/>
      <c r="V3" s="347">
        <f>DATE(V2,AA2,1)</f>
        <v/>
      </c>
      <c r="W3" s="334" t="n"/>
      <c r="X3" s="334" t="n"/>
      <c r="Y3" s="334" t="n"/>
      <c r="Z3" s="334" t="n"/>
      <c r="AA3" s="334" t="n"/>
      <c r="AB3" s="335" t="n"/>
      <c r="AC3" s="317" t="n"/>
      <c r="AD3" s="317" t="n"/>
      <c r="AE3" s="317" t="n"/>
      <c r="AF3" s="373" t="n"/>
    </row>
    <row r="4" ht="21" customHeight="1" thickBot="1">
      <c r="A4" s="317" t="n"/>
      <c r="B4" s="31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44" t="inlineStr">
        <is>
          <t>Employee Number:</t>
        </is>
      </c>
      <c r="L4" s="317" t="n"/>
      <c r="M4" s="326" t="n">
        <v>1319</v>
      </c>
      <c r="N4" s="327" t="n"/>
      <c r="O4" s="12" t="n"/>
      <c r="P4" s="12" t="n"/>
      <c r="Q4" s="12" t="n"/>
      <c r="R4" s="12" t="n"/>
      <c r="S4" s="12" t="n"/>
      <c r="T4" s="12" t="n"/>
      <c r="U4" s="317" t="n"/>
      <c r="V4" s="161" t="inlineStr">
        <is>
          <t>Su</t>
        </is>
      </c>
      <c r="W4" s="162" t="inlineStr">
        <is>
          <t>M</t>
        </is>
      </c>
      <c r="X4" s="162" t="inlineStr">
        <is>
          <t>Tu</t>
        </is>
      </c>
      <c r="Y4" s="162" t="inlineStr">
        <is>
          <t>W</t>
        </is>
      </c>
      <c r="Z4" s="162" t="inlineStr">
        <is>
          <t>Th</t>
        </is>
      </c>
      <c r="AA4" s="162" t="inlineStr">
        <is>
          <t>F</t>
        </is>
      </c>
      <c r="AB4" s="163" t="inlineStr">
        <is>
          <t>Sa</t>
        </is>
      </c>
      <c r="AC4" s="317" t="n"/>
      <c r="AD4" s="164" t="inlineStr">
        <is>
          <t>Overtime Options</t>
        </is>
      </c>
      <c r="AE4" s="317" t="n"/>
      <c r="AF4" s="317" t="n"/>
      <c r="AJ4" s="376" t="n"/>
    </row>
    <row r="5" ht="14.15" customHeight="1" thickBot="1">
      <c r="A5" s="317" t="n"/>
      <c r="B5" s="317" t="n"/>
      <c r="C5" s="322" t="n"/>
      <c r="D5" s="317" t="n"/>
      <c r="E5" s="317" t="n"/>
      <c r="F5" s="317" t="n"/>
      <c r="G5" s="12" t="n"/>
      <c r="H5" s="323" t="n"/>
      <c r="I5" s="317" t="n"/>
      <c r="J5" s="323" t="n"/>
      <c r="K5" s="324" t="inlineStr">
        <is>
          <t>Employee Name:</t>
        </is>
      </c>
      <c r="L5" s="325" t="n"/>
      <c r="M5" s="326" t="inlineStr">
        <is>
          <t>Venture, Ollivina</t>
        </is>
      </c>
      <c r="N5" s="327" t="n"/>
      <c r="O5" s="322" t="n"/>
      <c r="P5" s="322" t="n"/>
      <c r="Q5" s="322" t="n"/>
      <c r="R5" s="322" t="n"/>
      <c r="S5" s="322" t="n"/>
      <c r="T5" s="322" t="n"/>
      <c r="U5" s="31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17" t="n"/>
      <c r="AD5" s="317" t="n"/>
      <c r="AE5" s="4" t="b">
        <v>1</v>
      </c>
      <c r="AF5" s="374" t="n"/>
      <c r="AJ5" s="377" t="n"/>
      <c r="AK5" s="377" t="n"/>
      <c r="AL5" s="377" t="n"/>
    </row>
    <row r="6" ht="14.15" customHeight="1" thickBot="1">
      <c r="A6" s="317" t="n"/>
      <c r="B6" s="317" t="n"/>
      <c r="C6" s="322" t="inlineStr">
        <is>
          <t xml:space="preserve">120 Peter Rose St </t>
        </is>
      </c>
      <c r="D6" s="317" t="n"/>
      <c r="E6" s="317" t="n"/>
      <c r="F6" s="317" t="n"/>
      <c r="G6" s="12" t="n"/>
      <c r="H6" s="12" t="n"/>
      <c r="I6" s="12" t="n"/>
      <c r="J6" s="12" t="n"/>
      <c r="K6" s="12" t="n"/>
      <c r="L6" s="12" t="n"/>
      <c r="M6" s="340" t="inlineStr">
        <is>
          <t>Armed or unarmed</t>
        </is>
      </c>
      <c r="N6" s="341" t="n"/>
      <c r="O6" s="166" t="inlineStr">
        <is>
          <t>Unarmed</t>
        </is>
      </c>
      <c r="P6" s="12" t="n"/>
      <c r="Q6" s="12" t="n"/>
      <c r="R6" s="12" t="n"/>
      <c r="S6" s="12" t="n"/>
      <c r="T6" s="12" t="n"/>
      <c r="U6" s="31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17" t="n"/>
      <c r="AD6" s="167" t="inlineStr">
        <is>
          <t>After:</t>
        </is>
      </c>
      <c r="AE6" s="5" t="n">
        <v>8</v>
      </c>
      <c r="AF6" s="374" t="n"/>
      <c r="AJ6" s="377" t="n"/>
      <c r="AL6" s="378" t="n"/>
    </row>
    <row r="7" ht="14.15" customHeight="1" thickBot="1">
      <c r="A7" s="317" t="n"/>
      <c r="B7" s="317" t="n"/>
      <c r="C7" s="322" t="inlineStr">
        <is>
          <t>Queenstown</t>
        </is>
      </c>
      <c r="D7" s="317" t="n"/>
      <c r="E7" s="317" t="n"/>
      <c r="F7" s="317" t="n"/>
      <c r="G7" s="12" t="n"/>
      <c r="H7" s="323" t="n"/>
      <c r="I7" s="317" t="n"/>
      <c r="J7" s="323" t="n"/>
      <c r="K7" s="323" t="n"/>
      <c r="L7" s="323" t="n"/>
      <c r="M7" s="338" t="inlineStr">
        <is>
          <t>Agency</t>
        </is>
      </c>
      <c r="N7" s="33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1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17" t="n"/>
      <c r="AD7" s="317" t="n"/>
      <c r="AE7" s="317" t="n"/>
      <c r="AF7" s="374" t="n"/>
      <c r="AJ7" s="377" t="n"/>
      <c r="AL7" s="378" t="n"/>
    </row>
    <row r="8">
      <c r="A8" s="317" t="n"/>
      <c r="B8" s="317" t="n"/>
      <c r="C8" s="322" t="inlineStr">
        <is>
          <t>Georgetown, Guyana</t>
        </is>
      </c>
      <c r="D8" s="317" t="n"/>
      <c r="E8" s="317" t="n"/>
      <c r="F8" s="317" t="n"/>
      <c r="G8" s="12" t="n"/>
      <c r="H8" s="12" t="n"/>
      <c r="I8" s="12" t="n"/>
      <c r="J8" s="12" t="n"/>
      <c r="K8" s="12" t="n"/>
      <c r="L8" s="12" t="n"/>
      <c r="M8" s="342" t="n"/>
      <c r="N8" s="317" t="n"/>
      <c r="O8" s="317" t="n"/>
      <c r="P8" s="12" t="n"/>
      <c r="Q8" s="12" t="n"/>
      <c r="R8" s="12" t="n"/>
      <c r="S8" s="12" t="n"/>
      <c r="T8" s="12" t="n"/>
      <c r="U8" s="31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17" t="n"/>
      <c r="AD8" s="317" t="n"/>
      <c r="AE8" s="4" t="b">
        <v>1</v>
      </c>
      <c r="AF8" s="374" t="n"/>
      <c r="AJ8" s="377" t="n"/>
      <c r="AL8" s="378" t="n"/>
    </row>
    <row r="9">
      <c r="A9" s="317" t="n"/>
      <c r="B9" s="317" t="n"/>
      <c r="C9" s="322" t="n"/>
      <c r="D9" s="322" t="n"/>
      <c r="E9" s="322" t="n"/>
      <c r="F9" s="322" t="n"/>
      <c r="G9" s="12" t="n"/>
      <c r="H9" s="12" t="n"/>
      <c r="I9" s="12" t="n"/>
      <c r="J9" s="12" t="n"/>
      <c r="K9" s="12" t="n"/>
      <c r="L9" s="12" t="n"/>
      <c r="M9" s="169" t="n"/>
      <c r="N9" s="169" t="n"/>
      <c r="O9" s="12" t="n"/>
      <c r="P9" s="12" t="n"/>
      <c r="Q9" s="12" t="n"/>
      <c r="R9" s="12" t="n"/>
      <c r="S9" s="12" t="n"/>
      <c r="T9" s="12" t="n"/>
      <c r="U9" s="317" t="n"/>
      <c r="V9" s="170" t="n"/>
      <c r="W9" s="170" t="n"/>
      <c r="X9" s="170" t="n"/>
      <c r="Y9" s="170" t="n"/>
      <c r="Z9" s="170" t="n"/>
      <c r="AA9" s="170" t="n"/>
      <c r="AB9" s="170" t="n"/>
      <c r="AC9" s="317" t="n"/>
      <c r="AD9" s="317" t="n"/>
      <c r="AE9" s="4" t="n"/>
      <c r="AF9" s="317" t="n"/>
      <c r="AJ9" s="377" t="n"/>
      <c r="AL9" s="378" t="n"/>
    </row>
    <row r="10">
      <c r="A10" s="317" t="n"/>
      <c r="B10" s="317" t="n"/>
      <c r="C10" s="322" t="inlineStr">
        <is>
          <t>592-223-7560</t>
        </is>
      </c>
      <c r="D10" s="317" t="n"/>
      <c r="E10" s="317" t="n"/>
      <c r="F10" s="317" t="n"/>
      <c r="G10" s="12" t="n"/>
      <c r="H10" s="323" t="n"/>
      <c r="I10" s="317" t="n"/>
      <c r="J10" s="323" t="n"/>
      <c r="K10" s="344" t="inlineStr">
        <is>
          <t>Week Starting:</t>
        </is>
      </c>
      <c r="L10" s="317" t="n"/>
      <c r="M10" s="337" t="n">
        <v>46023</v>
      </c>
      <c r="N10" s="330" t="n"/>
      <c r="O10" s="12" t="n"/>
      <c r="P10" s="12" t="n"/>
      <c r="Q10" s="12" t="n"/>
      <c r="R10" s="12" t="n"/>
      <c r="S10" s="12" t="n"/>
      <c r="T10" s="171" t="inlineStr">
        <is>
          <t>[42]</t>
        </is>
      </c>
      <c r="U10" s="31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17" t="n"/>
      <c r="AD10" s="167" t="inlineStr">
        <is>
          <t>After:</t>
        </is>
      </c>
      <c r="AE10" s="5" t="n">
        <v>40</v>
      </c>
      <c r="AF10" s="375" t="n"/>
    </row>
    <row r="11" ht="15.75" customHeight="1" thickBot="1">
      <c r="A11" s="317" t="n"/>
      <c r="B11" s="31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71" t="inlineStr">
        <is>
          <t>Carry Forward Hrs:</t>
        </is>
      </c>
      <c r="L11" s="37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1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17" t="n"/>
      <c r="AD11" s="317" t="n"/>
      <c r="AE11" s="317" t="n"/>
      <c r="AF11" s="374" t="n"/>
      <c r="AJ11" s="379" t="n"/>
      <c r="AK11" s="379" t="n"/>
    </row>
    <row r="12" ht="27.75" customFormat="1" customHeight="1" s="2" thickBot="1">
      <c r="A12" s="172" t="inlineStr">
        <is>
          <t>Day Off</t>
        </is>
      </c>
      <c r="B12" s="173" t="inlineStr">
        <is>
          <t>Holiday Double</t>
        </is>
      </c>
      <c r="C12" s="174" t="inlineStr">
        <is>
          <t>Day of Week</t>
        </is>
      </c>
      <c r="D12" s="175" t="inlineStr">
        <is>
          <t>Time
In</t>
        </is>
      </c>
      <c r="E12" s="175" t="inlineStr">
        <is>
          <t>Time
Out</t>
        </is>
      </c>
      <c r="F12" s="176" t="n"/>
      <c r="G12" s="175" t="inlineStr">
        <is>
          <t>Time
In</t>
        </is>
      </c>
      <c r="H12" s="175" t="inlineStr">
        <is>
          <t>Time
Out</t>
        </is>
      </c>
      <c r="I12" s="177" t="inlineStr">
        <is>
          <t>Total
Hrs</t>
        </is>
      </c>
      <c r="J12" s="177" t="inlineStr">
        <is>
          <t>Location</t>
        </is>
      </c>
      <c r="K12" s="177" t="inlineStr">
        <is>
          <t>Supervisor</t>
        </is>
      </c>
      <c r="L12" s="177" t="inlineStr">
        <is>
          <t>Supervisor Approval</t>
        </is>
      </c>
      <c r="M12" s="175" t="inlineStr">
        <is>
          <t>Regular
Hrs</t>
        </is>
      </c>
      <c r="N12" s="175" t="inlineStr">
        <is>
          <t>Overtime
Hrs</t>
        </is>
      </c>
      <c r="O12" s="175" t="inlineStr">
        <is>
          <t>Hol Hrs</t>
        </is>
      </c>
      <c r="P12" s="175" t="inlineStr">
        <is>
          <t>Responsibilities</t>
        </is>
      </c>
      <c r="Q12" s="175" t="inlineStr">
        <is>
          <t>Risk</t>
        </is>
      </c>
      <c r="R12" s="175" t="inlineStr">
        <is>
          <t>Meals</t>
        </is>
      </c>
      <c r="S12" s="175" t="inlineStr">
        <is>
          <t>Vac Hrs</t>
        </is>
      </c>
      <c r="T12" s="178" t="inlineStr">
        <is>
          <t>Reason for Overtime</t>
        </is>
      </c>
      <c r="U12" s="179" t="inlineStr">
        <is>
          <t>Wkly Reg Avail</t>
        </is>
      </c>
      <c r="V12" s="317" t="inlineStr">
        <is>
          <t>Orig Reg</t>
        </is>
      </c>
      <c r="W12" s="317" t="inlineStr">
        <is>
          <t>Wkly OT Adj</t>
        </is>
      </c>
      <c r="X12" s="317" t="inlineStr">
        <is>
          <t>Week Start</t>
        </is>
      </c>
      <c r="Y12" s="317" t="inlineStr">
        <is>
          <t>Wk Hrs Before</t>
        </is>
      </c>
      <c r="Z12" s="317" t="n"/>
      <c r="AA12" s="317" t="n"/>
      <c r="AB12" s="317" t="n"/>
      <c r="AC12" s="317" t="n"/>
      <c r="AD12" s="317" t="n"/>
      <c r="AE12" s="317" t="n"/>
      <c r="AF12" s="317" t="n"/>
      <c r="AJ12" s="379" t="n"/>
      <c r="AK12" s="379" t="n"/>
    </row>
    <row r="13" hidden="1" ht="15.75" customHeight="1" thickBot="1">
      <c r="A13" s="180" t="n"/>
      <c r="B13" s="317" t="n"/>
      <c r="C13" s="18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2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  <c r="AE13" s="317" t="n"/>
      <c r="AF13" s="317" t="n"/>
    </row>
    <row r="14" ht="24" customHeight="1" thickBot="1">
      <c r="A14" s="183" t="inlineStr">
        <is>
          <t>On Day</t>
        </is>
      </c>
      <c r="B14" s="184" t="n"/>
      <c r="C14" s="348">
        <f>M10</f>
        <v/>
      </c>
      <c r="D14" s="68" t="n"/>
      <c r="E14" s="185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6" t="n"/>
      <c r="G14" s="185">
        <f>E14</f>
        <v/>
      </c>
      <c r="H14" s="68" t="n"/>
      <c r="I14" s="69">
        <f>ROUND(IF(OR(D14="",E14="",E14=0),0,IF(H14="",MOD(E14-D14,1)*24,MOD(H14-D14,1)*24)),2)</f>
        <v/>
      </c>
      <c r="J14" s="187" t="n"/>
      <c r="K14" s="188" t="n"/>
      <c r="L14" s="189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9">
        <f>MAX(0,40-Y14)</f>
        <v/>
      </c>
      <c r="V14" s="190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90">
        <f>MAX(0,V14-U14)</f>
        <v/>
      </c>
      <c r="X14" s="190">
        <f>IF(C14="","",C14-WEEKDAY(C14,1)+1)</f>
        <v/>
      </c>
      <c r="Y14" s="190">
        <f>IF(X14=X14,$L$11,0)</f>
        <v/>
      </c>
      <c r="Z14" s="190" t="n"/>
      <c r="AA14" s="190" t="n"/>
      <c r="AB14" s="190" t="n"/>
      <c r="AC14" s="317" t="n"/>
      <c r="AD14" s="317" t="n"/>
      <c r="AE14" s="317" t="n"/>
      <c r="AF14" s="317" t="n"/>
    </row>
    <row r="15" ht="24" customHeight="1" thickBot="1">
      <c r="A15" s="183" t="inlineStr">
        <is>
          <t>On Day</t>
        </is>
      </c>
      <c r="B15" s="184" t="n"/>
      <c r="C15" s="349">
        <f>C14</f>
        <v/>
      </c>
      <c r="D15" s="73" t="n"/>
      <c r="E15" s="191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2" t="n"/>
      <c r="G15" s="191">
        <f>E15</f>
        <v/>
      </c>
      <c r="H15" s="73" t="n"/>
      <c r="I15" s="74">
        <f>ROUND(IF(OR(D15="",E15="",E15=0),0,IF(H15="",MOD(E15-D15,1)*24,MOD(H15-D15,1)*24)),2)</f>
        <v/>
      </c>
      <c r="J15" s="187" t="n"/>
      <c r="K15" s="188" t="n"/>
      <c r="L15" s="189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9">
        <f>MAX(0,40-Y15)</f>
        <v/>
      </c>
      <c r="V15" s="190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90">
        <f>MAX(0,V15-U15)</f>
        <v/>
      </c>
      <c r="X15" s="190">
        <f>IF(C15="","",C15-WEEKDAY(C15,1)+1)</f>
        <v/>
      </c>
      <c r="Y15" s="190">
        <f>SUMPRODUCT(($X$14:$X14=X15)*(($V$14:$V14)+($O$14:$O14)))+IF(X15=X14,$L$11,0)</f>
        <v/>
      </c>
      <c r="Z15" s="190" t="n"/>
      <c r="AA15" s="190" t="n"/>
      <c r="AB15" s="190" t="n"/>
      <c r="AC15" s="317" t="n"/>
      <c r="AD15" s="317" t="n"/>
      <c r="AE15" s="317" t="n"/>
      <c r="AF15" s="317" t="n"/>
    </row>
    <row r="16" ht="24" customHeight="1" thickBot="1">
      <c r="A16" s="193" t="inlineStr">
        <is>
          <t>On Day</t>
        </is>
      </c>
      <c r="B16" s="194" t="n"/>
      <c r="C16" s="350">
        <f>C14+1</f>
        <v/>
      </c>
      <c r="D16" s="14" t="n"/>
      <c r="E16" s="195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6" t="n"/>
      <c r="G16" s="195">
        <f>E16</f>
        <v/>
      </c>
      <c r="H16" s="14" t="n"/>
      <c r="I16" s="40">
        <f>ROUND(IF(OR(D16="",E16="",E16=0),0,IF(H16="",MOD(E16-D16,1)*24,MOD(H16-D16,1)*24)),2)</f>
        <v/>
      </c>
      <c r="J16" s="197" t="n"/>
      <c r="K16" s="198" t="n"/>
      <c r="L16" s="189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9">
        <f>MAX(0,40-Y16)</f>
        <v/>
      </c>
      <c r="V16" s="31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17">
        <f>MAX(0,V16-U16)</f>
        <v/>
      </c>
      <c r="X16" s="317">
        <f>IF(C16="","",C16-WEEKDAY(C16,1)+1)</f>
        <v/>
      </c>
      <c r="Y16" s="317">
        <f>SUMPRODUCT(($X$14:$X15=X16)*(($V$14:$V15)+($O$14:$O15)))+IF(X16=X14,$L$11,0)</f>
        <v/>
      </c>
      <c r="Z16" s="317" t="n"/>
      <c r="AA16" s="317" t="n"/>
      <c r="AB16" s="317" t="n"/>
      <c r="AC16" s="317" t="n"/>
      <c r="AD16" s="317" t="n"/>
      <c r="AE16" s="317" t="n"/>
      <c r="AF16" s="317" t="n"/>
    </row>
    <row r="17" ht="24" customHeight="1" thickBot="1">
      <c r="A17" s="193" t="inlineStr">
        <is>
          <t>On Day</t>
        </is>
      </c>
      <c r="B17" s="194" t="n"/>
      <c r="C17" s="350">
        <f>C16</f>
        <v/>
      </c>
      <c r="D17" s="17" t="n"/>
      <c r="E17" s="199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6" t="n"/>
      <c r="G17" s="199">
        <f>E17</f>
        <v/>
      </c>
      <c r="H17" s="17" t="n"/>
      <c r="I17" s="40">
        <f>ROUND(IF(OR(D17="",E17="",E17=0),0,IF(H17="",MOD(E17-D17,1)*24,MOD(H17-D17,1)*24)),2)</f>
        <v/>
      </c>
      <c r="J17" s="200" t="n"/>
      <c r="K17" s="198" t="n"/>
      <c r="L17" s="189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9">
        <f>MAX(0,40-Y17)</f>
        <v/>
      </c>
      <c r="V17" s="31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17">
        <f>MAX(0,V17-U17)</f>
        <v/>
      </c>
      <c r="X17" s="317">
        <f>IF(C17="","",C17-WEEKDAY(C17,1)+1)</f>
        <v/>
      </c>
      <c r="Y17" s="317">
        <f>SUMPRODUCT(($X$14:$X16=X17)*(($V$14:$V16)+($O$14:$O16)))+IF(X17=X14,$L$11,0)</f>
        <v/>
      </c>
      <c r="Z17" s="317" t="n"/>
      <c r="AA17" s="317" t="n"/>
      <c r="AB17" s="317" t="n"/>
      <c r="AC17" s="317" t="n"/>
      <c r="AD17" s="317" t="n"/>
      <c r="AE17" s="317" t="n"/>
      <c r="AF17" s="317" t="n"/>
    </row>
    <row r="18" ht="24" customHeight="1" thickBot="1">
      <c r="A18" s="201" t="inlineStr">
        <is>
          <t>On Day</t>
        </is>
      </c>
      <c r="B18" s="202" t="n"/>
      <c r="C18" s="351">
        <f>C16+1</f>
        <v/>
      </c>
      <c r="D18" s="42" t="n"/>
      <c r="E18" s="203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4" t="n"/>
      <c r="G18" s="203">
        <f>E18</f>
        <v/>
      </c>
      <c r="H18" s="42" t="n"/>
      <c r="I18" s="43">
        <f>ROUND(IF(OR(D18="",E18="",E18=0),0,IF(H18="",MOD(E18-D18,1)*24,MOD(H18-D18,1)*24)),2)</f>
        <v/>
      </c>
      <c r="J18" s="205" t="n"/>
      <c r="K18" s="206" t="n"/>
      <c r="L18" s="189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9">
        <f>MAX(0,40-Y18)</f>
        <v/>
      </c>
      <c r="V18" s="31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17">
        <f>MAX(0,V18-U18)</f>
        <v/>
      </c>
      <c r="X18" s="317">
        <f>IF(C18="","",C18-WEEKDAY(C18,1)+1)</f>
        <v/>
      </c>
      <c r="Y18" s="317">
        <f>SUMPRODUCT(($X$14:$X17=X18)*(($V$14:$V17)+($O$14:$O17)))+IF(X18=X14,$L$11,0)</f>
        <v/>
      </c>
      <c r="Z18" s="317" t="n"/>
      <c r="AA18" s="317" t="n"/>
      <c r="AB18" s="317" t="n"/>
      <c r="AC18" s="317" t="n"/>
      <c r="AD18" s="317" t="n"/>
      <c r="AE18" s="317" t="n"/>
      <c r="AF18" s="317" t="n"/>
    </row>
    <row r="19" ht="24" customHeight="1" thickBot="1">
      <c r="A19" s="201" t="inlineStr">
        <is>
          <t>On Day</t>
        </is>
      </c>
      <c r="B19" s="202" t="n"/>
      <c r="C19" s="352">
        <f>C18</f>
        <v/>
      </c>
      <c r="D19" s="47" t="n"/>
      <c r="E19" s="207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8" t="n"/>
      <c r="G19" s="207">
        <f>E19</f>
        <v/>
      </c>
      <c r="H19" s="47" t="n"/>
      <c r="I19" s="48">
        <f>ROUND(IF(OR(D19="",E19="",E19=0),0,IF(H19="",MOD(E19-D19,1)*24,MOD(H19-D19,1)*24)),2)</f>
        <v/>
      </c>
      <c r="J19" s="205" t="n"/>
      <c r="K19" s="206" t="n"/>
      <c r="L19" s="189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9">
        <f>MAX(0,40-Y19)</f>
        <v/>
      </c>
      <c r="V19" s="31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17">
        <f>MAX(0,V19-U19)</f>
        <v/>
      </c>
      <c r="X19" s="317">
        <f>IF(C19="","",C19-WEEKDAY(C19,1)+1)</f>
        <v/>
      </c>
      <c r="Y19" s="317">
        <f>SUMPRODUCT(($X$14:$X18=X19)*(($V$14:$V18)+($O$14:$O18)))+IF(X19=X14,$L$11,0)</f>
        <v/>
      </c>
      <c r="Z19" s="317" t="n"/>
      <c r="AA19" s="317" t="n"/>
      <c r="AB19" s="317" t="n"/>
      <c r="AC19" s="317" t="n"/>
      <c r="AD19" s="317" t="n"/>
      <c r="AE19" s="317" t="n"/>
      <c r="AF19" s="317" t="n"/>
    </row>
    <row r="20" ht="24" customHeight="1" thickBot="1">
      <c r="A20" s="209" t="inlineStr">
        <is>
          <t>On Day</t>
        </is>
      </c>
      <c r="B20" s="210" t="n"/>
      <c r="C20" s="353">
        <f>C18+1</f>
        <v/>
      </c>
      <c r="D20" s="52" t="n"/>
      <c r="E20" s="211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2" t="n"/>
      <c r="G20" s="211">
        <f>E20</f>
        <v/>
      </c>
      <c r="H20" s="52" t="n"/>
      <c r="I20" s="114">
        <f>ROUND(IF(OR(D20="",E20="",E20=0),0,IF(H20="",MOD(E20-D20,1)*24,MOD(H20-D20,1)*24)),2)</f>
        <v/>
      </c>
      <c r="J20" s="213" t="n"/>
      <c r="K20" s="214" t="n"/>
      <c r="L20" s="189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9">
        <f>MAX(0,40-Y20)</f>
        <v/>
      </c>
      <c r="V20" s="31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17">
        <f>MAX(0,V20-U20)</f>
        <v/>
      </c>
      <c r="X20" s="317">
        <f>IF(C20="","",C20-WEEKDAY(C20,1)+1)</f>
        <v/>
      </c>
      <c r="Y20" s="317">
        <f>SUMPRODUCT(($X$14:$X19=X20)*(($V$14:$V19)+($O$14:$O19)))+IF(X20=X14,$L$11,0)</f>
        <v/>
      </c>
      <c r="Z20" s="317" t="n"/>
      <c r="AA20" s="317" t="n"/>
      <c r="AB20" s="317" t="n"/>
      <c r="AC20" s="317" t="n"/>
      <c r="AD20" s="317" t="n"/>
      <c r="AE20" s="317" t="n"/>
      <c r="AF20" s="317" t="n"/>
    </row>
    <row r="21" ht="24" customHeight="1" thickBot="1">
      <c r="A21" s="209" t="inlineStr">
        <is>
          <t>On Day</t>
        </is>
      </c>
      <c r="B21" s="210" t="n"/>
      <c r="C21" s="353">
        <f>C20</f>
        <v/>
      </c>
      <c r="D21" s="55" t="n"/>
      <c r="E21" s="215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2" t="n"/>
      <c r="G21" s="215">
        <f>E21</f>
        <v/>
      </c>
      <c r="H21" s="55" t="n"/>
      <c r="I21" s="114">
        <f>ROUND(IF(OR(D21="",E21="",E21=0),0,IF(H21="",MOD(E21-D21,1)*24,MOD(H21-D21,1)*24)),2)</f>
        <v/>
      </c>
      <c r="J21" s="216" t="n"/>
      <c r="K21" s="214" t="n"/>
      <c r="L21" s="189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9">
        <f>MAX(0,40-Y21)</f>
        <v/>
      </c>
      <c r="V21" s="31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17">
        <f>MAX(0,V21-U21)</f>
        <v/>
      </c>
      <c r="X21" s="317">
        <f>IF(C21="","",C21-WEEKDAY(C21,1)+1)</f>
        <v/>
      </c>
      <c r="Y21" s="317">
        <f>SUMPRODUCT(($X$14:$X20=X21)*(($V$14:$V20)+($O$14:$O20)))+IF(X21=X14,$L$11,0)</f>
        <v/>
      </c>
      <c r="Z21" s="317" t="n"/>
      <c r="AA21" s="317" t="n"/>
      <c r="AB21" s="317" t="n"/>
      <c r="AC21" s="317" t="n"/>
      <c r="AD21" s="317" t="n"/>
      <c r="AE21" s="317" t="n"/>
      <c r="AF21" s="317" t="n"/>
    </row>
    <row r="22" ht="24" customHeight="1" thickBot="1">
      <c r="A22" s="217" t="inlineStr">
        <is>
          <t>On Day</t>
        </is>
      </c>
      <c r="B22" s="218" t="n"/>
      <c r="C22" s="354">
        <f>C20+1</f>
        <v/>
      </c>
      <c r="D22" s="58" t="n"/>
      <c r="E22" s="219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20" t="n"/>
      <c r="G22" s="219">
        <f>E22</f>
        <v/>
      </c>
      <c r="H22" s="58" t="n"/>
      <c r="I22" s="59">
        <f>ROUND(IF(OR(D22="",E22="",E22=0),0,IF(H22="",MOD(E22-D22,1)*24,MOD(H22-D22,1)*24)),2)</f>
        <v/>
      </c>
      <c r="J22" s="221" t="n"/>
      <c r="K22" s="222" t="n"/>
      <c r="L22" s="189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9">
        <f>MAX(0,40-Y22)</f>
        <v/>
      </c>
      <c r="V22" s="31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17">
        <f>MAX(0,V22-U22)</f>
        <v/>
      </c>
      <c r="X22" s="317">
        <f>IF(C22="","",C22-WEEKDAY(C22,1)+1)</f>
        <v/>
      </c>
      <c r="Y22" s="317">
        <f>SUMPRODUCT(($X$14:$X21=X22)*(($V$14:$V21)+($O$14:$O21)))+IF(X22=X14,$L$11,0)</f>
        <v/>
      </c>
      <c r="Z22" s="317" t="n"/>
      <c r="AA22" s="317" t="n"/>
      <c r="AB22" s="317" t="n"/>
      <c r="AC22" s="317" t="n"/>
      <c r="AD22" s="317" t="n"/>
      <c r="AE22" s="317" t="n"/>
      <c r="AF22" s="317" t="n"/>
    </row>
    <row r="23" ht="24" customHeight="1" thickBot="1">
      <c r="A23" s="217" t="inlineStr">
        <is>
          <t>On Day</t>
        </is>
      </c>
      <c r="B23" s="218" t="n"/>
      <c r="C23" s="355">
        <f>C22</f>
        <v/>
      </c>
      <c r="D23" s="63" t="n"/>
      <c r="E23" s="223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4" t="n"/>
      <c r="G23" s="223">
        <f>E23</f>
        <v/>
      </c>
      <c r="H23" s="63" t="n"/>
      <c r="I23" s="64">
        <f>ROUND(IF(OR(D23="",E23="",E23=0),0,IF(H23="",MOD(E23-D23,1)*24,MOD(H23-D23,1)*24)),2)</f>
        <v/>
      </c>
      <c r="J23" s="221" t="n"/>
      <c r="K23" s="222" t="n"/>
      <c r="L23" s="189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9">
        <f>MAX(0,40-Y23)</f>
        <v/>
      </c>
      <c r="V23" s="31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17">
        <f>MAX(0,V23-U23)</f>
        <v/>
      </c>
      <c r="X23" s="317">
        <f>IF(C23="","",C23-WEEKDAY(C23,1)+1)</f>
        <v/>
      </c>
      <c r="Y23" s="317">
        <f>SUMPRODUCT(($X$14:$X22=X23)*(($V$14:$V22)+($O$14:$O22)))+IF(X23=X14,$L$11,0)</f>
        <v/>
      </c>
      <c r="Z23" s="317" t="n"/>
      <c r="AA23" s="317" t="n"/>
      <c r="AB23" s="317" t="n"/>
      <c r="AC23" s="317" t="n"/>
      <c r="AD23" s="317" t="n"/>
      <c r="AE23" s="317" t="n"/>
      <c r="AF23" s="317" t="n"/>
    </row>
    <row r="24" ht="24" customHeight="1" thickBot="1">
      <c r="A24" s="193" t="inlineStr">
        <is>
          <t>On Day</t>
        </is>
      </c>
      <c r="B24" s="194" t="n"/>
      <c r="C24" s="350">
        <f>C22+1</f>
        <v/>
      </c>
      <c r="D24" s="14" t="n"/>
      <c r="E24" s="195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6" t="n"/>
      <c r="G24" s="195">
        <f>E24</f>
        <v/>
      </c>
      <c r="H24" s="14" t="n"/>
      <c r="I24" s="40">
        <f>ROUND(IF(OR(D24="",E24="",E24=0),0,IF(H24="",MOD(E24-D24,1)*24,MOD(H24-D24,1)*24)),2)</f>
        <v/>
      </c>
      <c r="J24" s="197" t="n"/>
      <c r="K24" s="198" t="n"/>
      <c r="L24" s="189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9">
        <f>MAX(0,40-Y24)</f>
        <v/>
      </c>
      <c r="V24" s="31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17">
        <f>MAX(0,V24-U24)</f>
        <v/>
      </c>
      <c r="X24" s="317">
        <f>IF(C24="","",C24-WEEKDAY(C24,1)+1)</f>
        <v/>
      </c>
      <c r="Y24" s="317">
        <f>SUMPRODUCT(($X$14:$X23=X24)*(($V$14:$V23)+($O$14:$O23)))+IF(X24=X14,$L$11,0)</f>
        <v/>
      </c>
      <c r="Z24" s="317" t="n"/>
      <c r="AA24" s="317" t="n"/>
      <c r="AB24" s="317" t="n"/>
      <c r="AC24" s="317" t="n"/>
      <c r="AD24" s="317" t="n"/>
      <c r="AE24" s="317" t="n"/>
      <c r="AF24" s="317" t="n"/>
    </row>
    <row r="25" ht="24" customHeight="1" thickBot="1">
      <c r="A25" s="193" t="inlineStr">
        <is>
          <t>On Day</t>
        </is>
      </c>
      <c r="B25" s="194" t="n"/>
      <c r="C25" s="350">
        <f>C24</f>
        <v/>
      </c>
      <c r="D25" s="17" t="n"/>
      <c r="E25" s="199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6" t="n"/>
      <c r="G25" s="199">
        <f>E25</f>
        <v/>
      </c>
      <c r="H25" s="17" t="n"/>
      <c r="I25" s="40">
        <f>ROUND(IF(OR(D25="",E25="",E25=0),0,IF(H25="",MOD(E25-D25,1)*24,MOD(H25-D25,1)*24)),2)</f>
        <v/>
      </c>
      <c r="J25" s="200" t="n"/>
      <c r="K25" s="198" t="n"/>
      <c r="L25" s="189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9">
        <f>MAX(0,40-Y25)</f>
        <v/>
      </c>
      <c r="V25" s="31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17">
        <f>MAX(0,V25-U25)</f>
        <v/>
      </c>
      <c r="X25" s="317">
        <f>IF(C25="","",C25-WEEKDAY(C25,1)+1)</f>
        <v/>
      </c>
      <c r="Y25" s="317">
        <f>SUMPRODUCT(($X$14:$X24=X25)*(($V$14:$V24)+($O$14:$O24)))+IF(X25=X14,$L$11,0)</f>
        <v/>
      </c>
      <c r="Z25" s="317" t="n"/>
      <c r="AA25" s="317" t="n"/>
      <c r="AB25" s="317" t="n"/>
      <c r="AC25" s="317" t="n"/>
      <c r="AD25" s="317" t="n"/>
      <c r="AE25" s="317" t="n"/>
      <c r="AF25" s="317" t="n"/>
    </row>
    <row r="26" ht="24" customHeight="1" thickBot="1">
      <c r="A26" s="201" t="inlineStr">
        <is>
          <t>On Day</t>
        </is>
      </c>
      <c r="B26" s="202" t="n"/>
      <c r="C26" s="351">
        <f>C24+1</f>
        <v/>
      </c>
      <c r="D26" s="42" t="n"/>
      <c r="E26" s="203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4" t="n"/>
      <c r="G26" s="203">
        <f>E26</f>
        <v/>
      </c>
      <c r="H26" s="42" t="n"/>
      <c r="I26" s="43">
        <f>ROUND(IF(OR(D26="",E26="",E26=0),0,IF(H26="",MOD(E26-D26,1)*24,MOD(H26-D26,1)*24)),2)</f>
        <v/>
      </c>
      <c r="J26" s="205" t="n"/>
      <c r="K26" s="206" t="n"/>
      <c r="L26" s="189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9">
        <f>MAX(0,40-Y26)</f>
        <v/>
      </c>
      <c r="V26" s="31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17">
        <f>MAX(0,V26-U26)</f>
        <v/>
      </c>
      <c r="X26" s="317">
        <f>IF(C26="","",C26-WEEKDAY(C26,1)+1)</f>
        <v/>
      </c>
      <c r="Y26" s="317">
        <f>SUMPRODUCT(($X$14:$X25=X26)*(($V$14:$V25)+($O$14:$O25)))+IF(X26=X14,$L$11,0)</f>
        <v/>
      </c>
      <c r="Z26" s="317" t="n"/>
      <c r="AA26" s="317" t="n"/>
      <c r="AB26" s="317" t="n"/>
      <c r="AC26" s="317" t="n"/>
      <c r="AD26" s="317" t="n"/>
      <c r="AE26" s="317" t="n"/>
      <c r="AF26" s="317" t="n"/>
    </row>
    <row r="27" ht="24" customHeight="1" thickBot="1">
      <c r="A27" s="201" t="inlineStr">
        <is>
          <t>On Day</t>
        </is>
      </c>
      <c r="B27" s="202" t="n"/>
      <c r="C27" s="352">
        <f>C26</f>
        <v/>
      </c>
      <c r="D27" s="47" t="n"/>
      <c r="E27" s="207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8" t="n"/>
      <c r="G27" s="207">
        <f>E27</f>
        <v/>
      </c>
      <c r="H27" s="47" t="n"/>
      <c r="I27" s="48">
        <f>ROUND(IF(OR(D27="",E27="",E27=0),0,IF(H27="",MOD(E27-D27,1)*24,MOD(H27-D27,1)*24)),2)</f>
        <v/>
      </c>
      <c r="J27" s="205" t="n"/>
      <c r="K27" s="206" t="n"/>
      <c r="L27" s="189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9">
        <f>MAX(0,40-Y27)</f>
        <v/>
      </c>
      <c r="V27" s="31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17">
        <f>MAX(0,V27-U27)</f>
        <v/>
      </c>
      <c r="X27" s="317">
        <f>IF(C27="","",C27-WEEKDAY(C27,1)+1)</f>
        <v/>
      </c>
      <c r="Y27" s="317">
        <f>SUMPRODUCT(($X$14:$X26=X27)*(($V$14:$V26)+($O$14:$O26)))+IF(X27=X14,$L$11,0)</f>
        <v/>
      </c>
      <c r="Z27" s="317" t="n"/>
      <c r="AA27" s="317" t="n"/>
      <c r="AB27" s="317" t="n"/>
      <c r="AC27" s="317" t="n"/>
      <c r="AD27" s="317" t="n"/>
      <c r="AE27" s="317" t="n"/>
      <c r="AF27" s="317" t="n"/>
    </row>
    <row r="28" ht="24" customHeight="1" thickBot="1">
      <c r="A28" s="225" t="n"/>
      <c r="B28" s="225" t="n"/>
      <c r="C28" s="181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28" t="n"/>
      <c r="I28" s="317" t="n"/>
      <c r="J28" s="328" t="n"/>
      <c r="K28" s="328" t="n"/>
      <c r="L28" s="328" t="n"/>
      <c r="M28" s="356">
        <f>MAX(0,V28-W28)</f>
        <v/>
      </c>
      <c r="N28" s="356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356">
        <f>IF(AND(OR($A28="Holiday",$A29="Holiday"),
        ISNUMBER(MATCH(TRIM($B28),{"Phagwah","Good Friday","Easter Monday","Labour Day","Christmas","Eid ul Azha","Romans-2","Globe-12","Neptune P1"},0))),
   $I28,0)</f>
        <v/>
      </c>
      <c r="P28" s="356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357" t="n"/>
      <c r="R28" s="25" t="n"/>
      <c r="S28" s="356">
        <f>IF(OR($A28="Annual Leave",$A29="Annual Leave"),IF($A28="Annual Leave",8,0),0)</f>
        <v/>
      </c>
      <c r="T28" s="358" t="n"/>
      <c r="U28" s="179">
        <f>MAX(0,40-Y28)</f>
        <v/>
      </c>
      <c r="V28" s="31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17">
        <f>MAX(0,V28-U28)</f>
        <v/>
      </c>
      <c r="X28" s="317">
        <f>IF(C28="","",C28-WEEKDAY(C28,1)+1)</f>
        <v/>
      </c>
      <c r="Y28" s="317">
        <f>SUMPRODUCT(($X$14:$X27=X28)*(($V$14:$V27)+($O$14:$O27)))+IF(X28=X14,$L$11,0)</f>
        <v/>
      </c>
      <c r="Z28" s="317" t="n"/>
      <c r="AA28" s="317" t="n"/>
      <c r="AB28" s="317" t="n"/>
      <c r="AC28" s="317" t="n"/>
      <c r="AD28" s="317" t="n"/>
      <c r="AE28" s="317" t="n"/>
      <c r="AF28" s="317" t="n"/>
    </row>
    <row r="29" hidden="1" ht="15.75" customHeight="1" thickBot="1">
      <c r="A29" s="228" t="n"/>
      <c r="B29" s="225" t="n"/>
      <c r="C29" s="181" t="n"/>
      <c r="D29" s="12" t="n"/>
      <c r="E29" s="229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30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2" t="n"/>
      <c r="U29" s="317">
        <f>MAX(0,40-Y29)</f>
        <v/>
      </c>
      <c r="V29" s="31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17">
        <f>MAX(0,V29-U29)</f>
        <v/>
      </c>
      <c r="X29" s="317">
        <f>IF(C29="","",C29-WEEKDAY(C29,1)+1)</f>
        <v/>
      </c>
      <c r="Y29" s="317">
        <f>SUMPRODUCT(($X$14:$X28=X29)*(($V$14:$V28)+($O$14:$O28)))+IF(X29=X14,$L$11,0)</f>
        <v/>
      </c>
      <c r="Z29" s="317" t="n"/>
      <c r="AA29" s="317" t="n"/>
      <c r="AB29" s="317" t="n"/>
      <c r="AC29" s="317" t="n"/>
      <c r="AD29" s="317" t="n"/>
      <c r="AE29" s="317" t="n"/>
      <c r="AF29" s="317" t="n"/>
    </row>
    <row r="30" ht="24" customHeight="1" thickBot="1">
      <c r="A30" s="183" t="inlineStr">
        <is>
          <t>On Day</t>
        </is>
      </c>
      <c r="B30" s="231" t="n"/>
      <c r="C30" s="348">
        <f>C27+1</f>
        <v/>
      </c>
      <c r="D30" s="68" t="n"/>
      <c r="E30" s="185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6" t="n"/>
      <c r="G30" s="185">
        <f>E30</f>
        <v/>
      </c>
      <c r="H30" s="68" t="n"/>
      <c r="I30" s="69">
        <f>ROUND(IF(OR(D30="",E30="",E30=0),0,IF(H30="",MOD(E30-D30,1)*24,MOD(H30-D30,1)*24)),2)</f>
        <v/>
      </c>
      <c r="J30" s="187" t="n"/>
      <c r="K30" s="188" t="n"/>
      <c r="L30" s="232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9">
        <f>MAX(0,40-Y30)</f>
        <v/>
      </c>
      <c r="V30" s="190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90">
        <f>MAX(0,V30-U30)</f>
        <v/>
      </c>
      <c r="X30" s="190">
        <f>IF(C30="","",C30-WEEKDAY(C30,1)+1)</f>
        <v/>
      </c>
      <c r="Y30" s="190">
        <f>SUMPRODUCT(($X$14:$X29=X30)*(($V$14:$V29)+($O$14:$O29)))+IF(X30=X14,$L$11,0)</f>
        <v/>
      </c>
      <c r="Z30" s="190" t="n"/>
      <c r="AA30" s="190" t="n"/>
      <c r="AB30" s="190" t="n"/>
      <c r="AC30" s="317" t="n"/>
      <c r="AD30" s="317" t="n"/>
      <c r="AE30" s="317" t="n"/>
      <c r="AF30" s="317" t="n"/>
    </row>
    <row r="31" ht="24" customHeight="1" thickBot="1">
      <c r="A31" s="183" t="inlineStr">
        <is>
          <t>On Day</t>
        </is>
      </c>
      <c r="B31" s="233" t="n"/>
      <c r="C31" s="349">
        <f>C30</f>
        <v/>
      </c>
      <c r="D31" s="73" t="n"/>
      <c r="E31" s="191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2" t="n"/>
      <c r="G31" s="191">
        <f>E31</f>
        <v/>
      </c>
      <c r="H31" s="73" t="n"/>
      <c r="I31" s="74">
        <f>ROUND(IF(OR(D31="",E31="",E31=0),0,IF(H31="",MOD(E31-D31,1)*24,MOD(H31-D31,1)*24)),2)</f>
        <v/>
      </c>
      <c r="J31" s="187" t="n"/>
      <c r="K31" s="188" t="n"/>
      <c r="L31" s="234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9">
        <f>MAX(0,40-Y31)</f>
        <v/>
      </c>
      <c r="V31" s="190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90">
        <f>MAX(0,V31-U31)</f>
        <v/>
      </c>
      <c r="X31" s="190">
        <f>IF(C31="","",C31-WEEKDAY(C31,1)+1)</f>
        <v/>
      </c>
      <c r="Y31" s="190">
        <f>SUMPRODUCT(($X$14:$X30=X31)*(($V$14:$V30)+($O$14:$O30)))+IF(X31=X14,$L$11,0)</f>
        <v/>
      </c>
      <c r="Z31" s="190" t="n"/>
      <c r="AA31" s="190" t="n"/>
      <c r="AB31" s="190" t="n"/>
      <c r="AC31" s="317" t="n"/>
      <c r="AD31" s="317" t="n"/>
      <c r="AE31" s="317" t="n"/>
      <c r="AF31" s="317" t="n"/>
    </row>
    <row r="32" ht="24" customHeight="1" thickBot="1">
      <c r="A32" s="235" t="inlineStr">
        <is>
          <t>On Day</t>
        </is>
      </c>
      <c r="B32" s="236" t="n"/>
      <c r="C32" s="359">
        <f>C30+1</f>
        <v/>
      </c>
      <c r="D32" s="20" t="n"/>
      <c r="E32" s="237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8" t="n"/>
      <c r="G32" s="237">
        <f>E32</f>
        <v/>
      </c>
      <c r="H32" s="20" t="n"/>
      <c r="I32" s="105">
        <f>ROUND(IF(OR(D32="",E32="",E32=0),0,IF(H32="",MOD(E32-D32,1)*24,MOD(H32-D32,1)*24)),2)</f>
        <v/>
      </c>
      <c r="J32" s="239" t="n"/>
      <c r="K32" s="240" t="n"/>
      <c r="L32" s="241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9">
        <f>MAX(0,40-Y32)</f>
        <v/>
      </c>
      <c r="V32" s="31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17">
        <f>MAX(0,V32-U32)</f>
        <v/>
      </c>
      <c r="X32" s="317">
        <f>IF(C32="","",C32-WEEKDAY(C32,1)+1)</f>
        <v/>
      </c>
      <c r="Y32" s="317">
        <f>SUMPRODUCT(($X$14:$X31=X32)*(($V$14:$V31)+($O$14:$O31)))+IF(X32=X14,$L$11,0)</f>
        <v/>
      </c>
      <c r="Z32" s="317" t="n"/>
      <c r="AA32" s="317" t="n"/>
      <c r="AB32" s="317" t="n"/>
      <c r="AC32" s="317" t="n"/>
      <c r="AD32" s="317" t="n"/>
      <c r="AE32" s="317" t="n"/>
      <c r="AF32" s="317" t="n"/>
    </row>
    <row r="33" ht="24" customHeight="1" thickBot="1">
      <c r="A33" s="235" t="inlineStr">
        <is>
          <t>On Day</t>
        </is>
      </c>
      <c r="B33" s="242" t="n"/>
      <c r="C33" s="359">
        <f>C32</f>
        <v/>
      </c>
      <c r="D33" s="9" t="n"/>
      <c r="E33" s="243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8" t="n"/>
      <c r="G33" s="243">
        <f>E33</f>
        <v/>
      </c>
      <c r="H33" s="9" t="n"/>
      <c r="I33" s="105">
        <f>ROUND(IF(OR(D33="",E33="",E33=0),0,IF(H33="",MOD(E33-D33,1)*24,MOD(H33-D33,1)*24)),2)</f>
        <v/>
      </c>
      <c r="J33" s="244" t="n"/>
      <c r="K33" s="240" t="n"/>
      <c r="L33" s="241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9">
        <f>MAX(0,40-Y33)</f>
        <v/>
      </c>
      <c r="V33" s="31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17">
        <f>MAX(0,V33-U33)</f>
        <v/>
      </c>
      <c r="X33" s="317">
        <f>IF(C33="","",C33-WEEKDAY(C33,1)+1)</f>
        <v/>
      </c>
      <c r="Y33" s="317">
        <f>SUMPRODUCT(($X$14:$X32=X33)*(($V$14:$V32)+($O$14:$O32)))+IF(X33=X14,$L$11,0)</f>
        <v/>
      </c>
      <c r="Z33" s="317" t="n"/>
      <c r="AA33" s="317" t="n"/>
      <c r="AB33" s="317" t="n"/>
      <c r="AC33" s="317" t="n"/>
      <c r="AD33" s="317" t="n"/>
      <c r="AE33" s="317" t="n"/>
      <c r="AF33" s="317" t="n"/>
    </row>
    <row r="34" ht="24" customHeight="1" thickBot="1">
      <c r="A34" s="201" t="inlineStr">
        <is>
          <t>On Day</t>
        </is>
      </c>
      <c r="B34" s="245" t="n"/>
      <c r="C34" s="351">
        <f>C32+1</f>
        <v/>
      </c>
      <c r="D34" s="42" t="n"/>
      <c r="E34" s="203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4" t="n"/>
      <c r="G34" s="203">
        <f>E34</f>
        <v/>
      </c>
      <c r="H34" s="42" t="n"/>
      <c r="I34" s="43">
        <f>ROUND(IF(OR(D34="",E34="",E34=0),0,IF(H34="",MOD(E34-D34,1)*24,MOD(H34-D34,1)*24)),2)</f>
        <v/>
      </c>
      <c r="J34" s="205" t="n"/>
      <c r="K34" s="206" t="n"/>
      <c r="L34" s="232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9">
        <f>MAX(0,40-Y34)</f>
        <v/>
      </c>
      <c r="V34" s="31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17">
        <f>MAX(0,V34-U34)</f>
        <v/>
      </c>
      <c r="X34" s="317">
        <f>IF(C34="","",C34-WEEKDAY(C34,1)+1)</f>
        <v/>
      </c>
      <c r="Y34" s="317">
        <f>SUMPRODUCT(($X$14:$X33=X34)*(($V$14:$V33)+($O$14:$O33)))+IF(X34=X14,$L$11,0)</f>
        <v/>
      </c>
      <c r="Z34" s="317" t="n"/>
      <c r="AA34" s="317" t="n"/>
      <c r="AB34" s="317" t="n"/>
      <c r="AC34" s="317" t="n"/>
      <c r="AD34" s="317" t="n"/>
      <c r="AE34" s="317" t="n"/>
      <c r="AF34" s="317" t="n"/>
    </row>
    <row r="35" ht="24" customHeight="1" thickBot="1">
      <c r="A35" s="201" t="inlineStr">
        <is>
          <t>On Day</t>
        </is>
      </c>
      <c r="B35" s="246" t="n"/>
      <c r="C35" s="352">
        <f>C34</f>
        <v/>
      </c>
      <c r="D35" s="47" t="n"/>
      <c r="E35" s="207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8" t="n"/>
      <c r="G35" s="207">
        <f>E35</f>
        <v/>
      </c>
      <c r="H35" s="47" t="n"/>
      <c r="I35" s="48">
        <f>ROUND(IF(OR(D35="",E35="",E35=0),0,IF(H35="",MOD(E35-D35,1)*24,MOD(H35-D35,1)*24)),2)</f>
        <v/>
      </c>
      <c r="J35" s="205" t="n"/>
      <c r="K35" s="206" t="n"/>
      <c r="L35" s="234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9">
        <f>MAX(0,40-Y35)</f>
        <v/>
      </c>
      <c r="V35" s="31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17">
        <f>MAX(0,V35-U35)</f>
        <v/>
      </c>
      <c r="X35" s="317">
        <f>IF(C35="","",C35-WEEKDAY(C35,1)+1)</f>
        <v/>
      </c>
      <c r="Y35" s="317">
        <f>SUMPRODUCT(($X$14:$X34=X35)*(($V$14:$V34)+($O$14:$O34)))+IF(X35=X14,$L$11,0)</f>
        <v/>
      </c>
      <c r="Z35" s="317" t="n"/>
      <c r="AA35" s="317" t="n"/>
      <c r="AB35" s="317" t="n"/>
      <c r="AC35" s="317" t="n"/>
      <c r="AD35" s="317" t="n"/>
      <c r="AE35" s="317" t="n"/>
      <c r="AF35" s="317" t="n"/>
    </row>
    <row r="36" ht="24" customHeight="1" thickBot="1">
      <c r="A36" s="193" t="inlineStr">
        <is>
          <t>On Day</t>
        </is>
      </c>
      <c r="B36" s="247" t="n"/>
      <c r="C36" s="350">
        <f>C34+1</f>
        <v/>
      </c>
      <c r="D36" s="14" t="n"/>
      <c r="E36" s="195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6" t="n"/>
      <c r="G36" s="195">
        <f>E36</f>
        <v/>
      </c>
      <c r="H36" s="14" t="n"/>
      <c r="I36" s="40">
        <f>ROUND(IF(OR(D36="",E36="",E36=0),0,IF(H36="",MOD(E36-D36,1)*24,MOD(H36-D36,1)*24)),2)</f>
        <v/>
      </c>
      <c r="J36" s="197" t="n"/>
      <c r="K36" s="198" t="n"/>
      <c r="L36" s="241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9">
        <f>MAX(0,40-Y36)</f>
        <v/>
      </c>
      <c r="V36" s="31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17">
        <f>MAX(0,V36-U36)</f>
        <v/>
      </c>
      <c r="X36" s="317">
        <f>IF(C36="","",C36-WEEKDAY(C36,1)+1)</f>
        <v/>
      </c>
      <c r="Y36" s="317">
        <f>SUMPRODUCT(($X$14:$X35=X36)*(($V$14:$V35)+($O$14:$O35)))+IF(X36=X14,$L$11,0)</f>
        <v/>
      </c>
      <c r="Z36" s="317" t="n"/>
      <c r="AA36" s="317" t="n"/>
      <c r="AB36" s="317" t="n"/>
      <c r="AC36" s="317" t="n"/>
      <c r="AD36" s="317" t="n"/>
      <c r="AE36" s="317" t="n"/>
      <c r="AF36" s="317" t="n"/>
    </row>
    <row r="37" ht="24" customHeight="1" thickBot="1">
      <c r="A37" s="193" t="inlineStr">
        <is>
          <t>On Day</t>
        </is>
      </c>
      <c r="B37" s="248" t="n"/>
      <c r="C37" s="350">
        <f>C36</f>
        <v/>
      </c>
      <c r="D37" s="17" t="n"/>
      <c r="E37" s="199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6" t="n"/>
      <c r="G37" s="199">
        <f>E37</f>
        <v/>
      </c>
      <c r="H37" s="17" t="n"/>
      <c r="I37" s="40">
        <f>ROUND(IF(OR(D37="",E37="",E37=0),0,IF(H37="",MOD(E37-D37,1)*24,MOD(H37-D37,1)*24)),2)</f>
        <v/>
      </c>
      <c r="J37" s="200" t="n"/>
      <c r="K37" s="198" t="n"/>
      <c r="L37" s="241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9">
        <f>MAX(0,40-Y37)</f>
        <v/>
      </c>
      <c r="V37" s="31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17">
        <f>MAX(0,V37-U37)</f>
        <v/>
      </c>
      <c r="X37" s="317">
        <f>IF(C37="","",C37-WEEKDAY(C37,1)+1)</f>
        <v/>
      </c>
      <c r="Y37" s="317">
        <f>SUMPRODUCT(($X$14:$X36=X37)*(($V$14:$V36)+($O$14:$O36)))+IF(X37=X14,$L$11,0)</f>
        <v/>
      </c>
      <c r="Z37" s="317" t="n"/>
      <c r="AA37" s="317" t="n"/>
      <c r="AB37" s="317" t="n"/>
      <c r="AC37" s="317" t="n"/>
      <c r="AD37" s="317" t="n"/>
      <c r="AE37" s="317" t="n"/>
      <c r="AF37" s="317" t="n"/>
    </row>
    <row r="38" ht="24" customHeight="1" thickBot="1">
      <c r="A38" s="249" t="inlineStr">
        <is>
          <t>On Day</t>
        </is>
      </c>
      <c r="B38" s="250" t="n"/>
      <c r="C38" s="360">
        <f>C36+1</f>
        <v/>
      </c>
      <c r="D38" s="78" t="n"/>
      <c r="E38" s="251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2" t="n"/>
      <c r="G38" s="251">
        <f>E38</f>
        <v/>
      </c>
      <c r="H38" s="78" t="n"/>
      <c r="I38" s="79">
        <f>ROUND(IF(OR(D38="",E38="",E38=0),0,IF(H38="",MOD(E38-D38,1)*24,MOD(H38-D38,1)*24)),2)</f>
        <v/>
      </c>
      <c r="J38" s="253" t="n"/>
      <c r="K38" s="254" t="n"/>
      <c r="L38" s="232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9">
        <f>MAX(0,40-Y38)</f>
        <v/>
      </c>
      <c r="V38" s="31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17">
        <f>MAX(0,V38-U38)</f>
        <v/>
      </c>
      <c r="X38" s="317">
        <f>IF(C38="","",C38-WEEKDAY(C38,1)+1)</f>
        <v/>
      </c>
      <c r="Y38" s="317">
        <f>SUMPRODUCT(($X$14:$X37=X38)*(($V$14:$V37)+($O$14:$O37)))+IF(X38=X14,$L$11,0)</f>
        <v/>
      </c>
      <c r="Z38" s="317" t="n"/>
      <c r="AA38" s="317" t="n"/>
      <c r="AB38" s="317" t="n"/>
      <c r="AC38" s="317" t="n"/>
      <c r="AD38" s="317" t="n"/>
      <c r="AE38" s="317" t="n"/>
      <c r="AF38" s="317" t="n"/>
    </row>
    <row r="39" ht="24" customHeight="1" thickBot="1">
      <c r="A39" s="249" t="inlineStr">
        <is>
          <t>On Day</t>
        </is>
      </c>
      <c r="B39" s="255" t="n"/>
      <c r="C39" s="361">
        <f>C38</f>
        <v/>
      </c>
      <c r="D39" s="83" t="n"/>
      <c r="E39" s="256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7" t="n"/>
      <c r="G39" s="256">
        <f>E39</f>
        <v/>
      </c>
      <c r="H39" s="83" t="n"/>
      <c r="I39" s="84">
        <f>ROUND(IF(OR(D39="",E39="",E39=0),0,IF(H39="",MOD(E39-D39,1)*24,MOD(H39-D39,1)*24)),2)</f>
        <v/>
      </c>
      <c r="J39" s="253" t="n"/>
      <c r="K39" s="254" t="n"/>
      <c r="L39" s="234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9">
        <f>MAX(0,40-Y39)</f>
        <v/>
      </c>
      <c r="V39" s="31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17">
        <f>MAX(0,V39-U39)</f>
        <v/>
      </c>
      <c r="X39" s="317">
        <f>IF(C39="","",C39-WEEKDAY(C39,1)+1)</f>
        <v/>
      </c>
      <c r="Y39" s="317">
        <f>SUMPRODUCT(($X$14:$X38=X39)*(($V$14:$V38)+($O$14:$O38)))+IF(X39=X14,$L$11,0)</f>
        <v/>
      </c>
      <c r="Z39" s="317" t="n"/>
      <c r="AA39" s="317" t="n"/>
      <c r="AB39" s="317" t="n"/>
      <c r="AC39" s="317" t="n"/>
      <c r="AD39" s="317" t="n"/>
      <c r="AE39" s="317" t="n"/>
      <c r="AF39" s="317" t="n"/>
    </row>
    <row r="40" ht="24" customHeight="1" thickBot="1">
      <c r="A40" s="258" t="inlineStr">
        <is>
          <t>On Day</t>
        </is>
      </c>
      <c r="B40" s="259" t="n"/>
      <c r="C40" s="362">
        <f>C38+1</f>
        <v/>
      </c>
      <c r="D40" s="88" t="n"/>
      <c r="E40" s="260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1" t="n"/>
      <c r="G40" s="260">
        <f>E40</f>
        <v/>
      </c>
      <c r="H40" s="88" t="n"/>
      <c r="I40" s="126">
        <f>ROUND(IF(OR(D40="",E40="",E40=0),0,IF(H40="",MOD(E40-D40,1)*24,MOD(H40-D40,1)*24)),2)</f>
        <v/>
      </c>
      <c r="J40" s="262" t="n"/>
      <c r="K40" s="263" t="n"/>
      <c r="L40" s="241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9">
        <f>MAX(0,40-Y40)</f>
        <v/>
      </c>
      <c r="V40" s="31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17">
        <f>MAX(0,V40-U40)</f>
        <v/>
      </c>
      <c r="X40" s="317">
        <f>IF(C40="","",C40-WEEKDAY(C40,1)+1)</f>
        <v/>
      </c>
      <c r="Y40" s="317">
        <f>SUMPRODUCT(($X$14:$X39=X40)*(($V$14:$V39)+($O$14:$O39)))+IF(X40=X14,$L$11,0)</f>
        <v/>
      </c>
      <c r="Z40" s="317" t="n"/>
      <c r="AA40" s="317" t="n"/>
      <c r="AB40" s="317" t="n"/>
      <c r="AC40" s="317" t="n"/>
      <c r="AD40" s="317" t="n"/>
      <c r="AE40" s="317" t="n"/>
      <c r="AF40" s="317" t="n"/>
    </row>
    <row r="41" ht="24" customHeight="1" thickBot="1">
      <c r="A41" s="258" t="inlineStr">
        <is>
          <t>On Day</t>
        </is>
      </c>
      <c r="B41" s="264" t="n"/>
      <c r="C41" s="362">
        <f>C40</f>
        <v/>
      </c>
      <c r="D41" s="91" t="n"/>
      <c r="E41" s="265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1" t="n"/>
      <c r="G41" s="265">
        <f>E41</f>
        <v/>
      </c>
      <c r="H41" s="91" t="n"/>
      <c r="I41" s="126">
        <f>ROUND(IF(OR(D41="",E41="",E41=0),0,IF(H41="",MOD(E41-D41,1)*24,MOD(H41-D41,1)*24)),2)</f>
        <v/>
      </c>
      <c r="J41" s="266" t="n"/>
      <c r="K41" s="263" t="n"/>
      <c r="L41" s="241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9">
        <f>MAX(0,40-Y41)</f>
        <v/>
      </c>
      <c r="V41" s="31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17">
        <f>MAX(0,V41-U41)</f>
        <v/>
      </c>
      <c r="X41" s="317">
        <f>IF(C41="","",C41-WEEKDAY(C41,1)+1)</f>
        <v/>
      </c>
      <c r="Y41" s="317">
        <f>SUMPRODUCT(($X$14:$X40=X41)*(($V$14:$V40)+($O$14:$O40)))+IF(X41=X14,$L$11,0)</f>
        <v/>
      </c>
      <c r="Z41" s="317" t="n"/>
      <c r="AA41" s="317" t="n"/>
      <c r="AB41" s="317" t="n"/>
      <c r="AC41" s="317" t="n"/>
      <c r="AD41" s="317" t="n"/>
      <c r="AE41" s="317" t="n"/>
      <c r="AF41" s="317" t="n"/>
    </row>
    <row r="42" ht="24" customHeight="1" thickBot="1">
      <c r="A42" s="267" t="inlineStr">
        <is>
          <t>On Day</t>
        </is>
      </c>
      <c r="B42" s="268" t="n"/>
      <c r="C42" s="363">
        <f>C40+1</f>
        <v/>
      </c>
      <c r="D42" s="94" t="n"/>
      <c r="E42" s="269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70" t="n"/>
      <c r="G42" s="269">
        <f>E42</f>
        <v/>
      </c>
      <c r="H42" s="94" t="n"/>
      <c r="I42" s="26">
        <f>ROUND(IF(OR(D42="",E42="",E42=0),0,IF(H42="",MOD(E42-D42,1)*24,MOD(H42-D42,1)*24)),2)</f>
        <v/>
      </c>
      <c r="J42" s="271" t="n"/>
      <c r="K42" s="272" t="n"/>
      <c r="L42" s="232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3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3">
        <f>IF(OR($A42="Annual Leave",$A43="Annual Leave"),IF($A42="Annual Leave",8,0),0)</f>
        <v/>
      </c>
      <c r="T42" s="96" t="n"/>
      <c r="U42" s="179">
        <f>MAX(0,40-Y42)</f>
        <v/>
      </c>
      <c r="V42" s="31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17">
        <f>MAX(0,V42-U42)</f>
        <v/>
      </c>
      <c r="X42" s="317">
        <f>IF(C42="","",C42-WEEKDAY(C42,1)+1)</f>
        <v/>
      </c>
      <c r="Y42" s="317">
        <f>SUMPRODUCT(($X$14:$X41=X42)*(($V$14:$V41)+($O$14:$O41)))+IF(X42=X14,$L$11,0)</f>
        <v/>
      </c>
      <c r="Z42" s="317" t="n"/>
      <c r="AA42" s="317" t="n"/>
      <c r="AB42" s="317" t="n"/>
      <c r="AC42" s="317" t="n"/>
      <c r="AD42" s="317" t="n"/>
      <c r="AE42" s="317" t="n"/>
      <c r="AF42" s="317" t="n"/>
    </row>
    <row r="43" ht="24" customHeight="1" thickBot="1">
      <c r="A43" s="267" t="inlineStr">
        <is>
          <t>On Day</t>
        </is>
      </c>
      <c r="B43" s="274" t="n"/>
      <c r="C43" s="364">
        <f>C42</f>
        <v/>
      </c>
      <c r="D43" s="28" t="n"/>
      <c r="E43" s="275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6" t="n"/>
      <c r="G43" s="275">
        <f>E43</f>
        <v/>
      </c>
      <c r="H43" s="28" t="n"/>
      <c r="I43" s="29">
        <f>ROUND(IF(OR(D43="",E43="",E43=0),0,IF(H43="",MOD(E43-D43,1)*24,MOD(H43-D43,1)*24)),2)</f>
        <v/>
      </c>
      <c r="J43" s="271" t="n"/>
      <c r="K43" s="272" t="n"/>
      <c r="L43" s="234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9">
        <f>MAX(0,40-Y43)</f>
        <v/>
      </c>
      <c r="V43" s="31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17">
        <f>MAX(0,V43-U43)</f>
        <v/>
      </c>
      <c r="X43" s="317">
        <f>IF(C43="","",C43-WEEKDAY(C43,1)+1)</f>
        <v/>
      </c>
      <c r="Y43" s="317">
        <f>SUMPRODUCT(($X$14:$X42=X43)*(($V$14:$V42)+($O$14:$O42)))+IF(X43=X14,$L$11,0)</f>
        <v/>
      </c>
      <c r="Z43" s="317" t="n"/>
      <c r="AA43" s="317" t="n"/>
      <c r="AB43" s="317" t="n"/>
      <c r="AC43" s="317" t="n"/>
      <c r="AD43" s="317" t="n"/>
      <c r="AE43" s="317" t="n"/>
      <c r="AF43" s="317" t="n"/>
    </row>
    <row r="44" ht="24" customHeight="1" thickBot="1">
      <c r="A44" s="225" t="n"/>
      <c r="B44" s="225" t="n"/>
      <c r="C44" s="365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8" t="n"/>
      <c r="G44" s="131" t="n"/>
      <c r="H44" s="131" t="n"/>
      <c r="I44" s="279" t="n"/>
      <c r="J44" s="279" t="n"/>
      <c r="K44" s="279" t="n"/>
      <c r="L44" s="279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9">
        <f>MAX(0,40-Y44)</f>
        <v/>
      </c>
      <c r="V44" s="31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17">
        <f>MAX(0,V44-U44)</f>
        <v/>
      </c>
      <c r="X44" s="317">
        <f>IF(C44="","",C44-WEEKDAY(C44,1)+1)</f>
        <v/>
      </c>
      <c r="Y44" s="317">
        <f>SUMPRODUCT(($X$14:$X43=X44)*(($V$14:$V43)+($O$14:$O43)))+IF(X44=X14,$L$11,0)</f>
        <v/>
      </c>
      <c r="Z44" s="317" t="n"/>
      <c r="AA44" s="317" t="n"/>
      <c r="AB44" s="317" t="n"/>
      <c r="AC44" s="317" t="n"/>
      <c r="AD44" s="317" t="n"/>
      <c r="AE44" s="317" t="n"/>
      <c r="AF44" s="317" t="n"/>
    </row>
    <row r="45" ht="24" customHeight="1" thickBot="1">
      <c r="A45" s="193" t="inlineStr">
        <is>
          <t>On Day</t>
        </is>
      </c>
      <c r="B45" s="280" t="n"/>
      <c r="C45" s="366">
        <f>C42+1</f>
        <v/>
      </c>
      <c r="D45" s="7" t="n"/>
      <c r="E45" s="281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2" t="n"/>
      <c r="G45" s="281">
        <f>E45</f>
        <v/>
      </c>
      <c r="H45" s="7" t="n"/>
      <c r="I45" s="40">
        <f>ROUND(IF(OR(D45="",E45="",E45=0),0,IF(H45="",MOD(E45-D45,1)*24,MOD(H45-D45,1)*24)),2)</f>
        <v/>
      </c>
      <c r="J45" s="283" t="n"/>
      <c r="K45" s="198" t="n"/>
      <c r="L45" s="232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9">
        <f>MAX(0,40-Y45)</f>
        <v/>
      </c>
      <c r="V45" s="31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17">
        <f>MAX(0,V45-U45)</f>
        <v/>
      </c>
      <c r="X45" s="317">
        <f>IF(C45="","",C45-WEEKDAY(C45,1)+1)</f>
        <v/>
      </c>
      <c r="Y45" s="317">
        <f>SUMPRODUCT(($X$14:$X44=X45)*(($V$14:$V44)+($O$14:$O44)))+IF(X45=X14,$L$11,0)</f>
        <v/>
      </c>
      <c r="Z45" s="317" t="n"/>
      <c r="AA45" s="317" t="n"/>
      <c r="AB45" s="317" t="n"/>
      <c r="AC45" s="317" t="n"/>
      <c r="AD45" s="317" t="n"/>
      <c r="AE45" s="317" t="n"/>
      <c r="AF45" s="317" t="n"/>
    </row>
    <row r="46" ht="24" customHeight="1" thickBot="1">
      <c r="A46" s="193" t="inlineStr">
        <is>
          <t>On Day</t>
        </is>
      </c>
      <c r="B46" s="248" t="n"/>
      <c r="C46" s="350">
        <f>C45</f>
        <v/>
      </c>
      <c r="D46" s="98" t="n"/>
      <c r="E46" s="284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6" t="n"/>
      <c r="G46" s="284">
        <f>E46</f>
        <v/>
      </c>
      <c r="H46" s="98" t="n"/>
      <c r="I46" s="40">
        <f>ROUND(IF(OR(D46="",E46="",E46=0),0,IF(H46="",MOD(E46-D46,1)*24,MOD(H46-D46,1)*24)),2)</f>
        <v/>
      </c>
      <c r="J46" s="200" t="n"/>
      <c r="K46" s="198" t="n"/>
      <c r="L46" s="241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9">
        <f>MAX(0,40-Y46)</f>
        <v/>
      </c>
      <c r="V46" s="31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17">
        <f>MAX(0,V46-U46)</f>
        <v/>
      </c>
      <c r="X46" s="317">
        <f>IF(C46="","",C46-WEEKDAY(C46,1)+1)</f>
        <v/>
      </c>
      <c r="Y46" s="317">
        <f>SUMPRODUCT(($X$14:$X45=X46)*(($V$14:$V45)+($O$14:$O45)))+IF(X46=X14,$L$11,0)</f>
        <v/>
      </c>
      <c r="Z46" s="317" t="n"/>
      <c r="AA46" s="317" t="n"/>
      <c r="AB46" s="317" t="n"/>
      <c r="AC46" s="317" t="n"/>
      <c r="AD46" s="317" t="n"/>
      <c r="AE46" s="317" t="n"/>
      <c r="AF46" s="317" t="n"/>
    </row>
    <row r="47" ht="24" customHeight="1" thickBot="1">
      <c r="A47" s="235" t="inlineStr">
        <is>
          <t>On Day</t>
        </is>
      </c>
      <c r="B47" s="285" t="n"/>
      <c r="C47" s="367">
        <f>C45+1</f>
        <v/>
      </c>
      <c r="D47" s="101" t="n"/>
      <c r="E47" s="286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7" t="n"/>
      <c r="G47" s="286">
        <f>E47</f>
        <v/>
      </c>
      <c r="H47" s="101" t="n"/>
      <c r="I47" s="33">
        <f>ROUND(IF(OR(D47="",E47="",E47=0),0,IF(H47="",MOD(E47-D47,1)*24,MOD(H47-D47,1)*24)),2)</f>
        <v/>
      </c>
      <c r="J47" s="288" t="n"/>
      <c r="K47" s="240" t="n"/>
      <c r="L47" s="232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9">
        <f>MAX(0,40-Y47)</f>
        <v/>
      </c>
      <c r="V47" s="31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17">
        <f>MAX(0,V47-U47)</f>
        <v/>
      </c>
      <c r="X47" s="317">
        <f>IF(C47="","",C47-WEEKDAY(C47,1)+1)</f>
        <v/>
      </c>
      <c r="Y47" s="317">
        <f>SUMPRODUCT(($X$14:$X46=X47)*(($V$14:$V46)+($O$14:$O46)))+IF(X47=X14,$L$11,0)</f>
        <v/>
      </c>
      <c r="Z47" s="317" t="n"/>
      <c r="AA47" s="317" t="n"/>
      <c r="AB47" s="317" t="n"/>
      <c r="AC47" s="317" t="n"/>
      <c r="AD47" s="317" t="n"/>
      <c r="AE47" s="317" t="n"/>
      <c r="AF47" s="317" t="n"/>
    </row>
    <row r="48" ht="24" customHeight="1" thickBot="1">
      <c r="A48" s="289" t="inlineStr">
        <is>
          <t>On Day</t>
        </is>
      </c>
      <c r="B48" s="242" t="n"/>
      <c r="C48" s="368">
        <f>C47</f>
        <v/>
      </c>
      <c r="D48" s="34" t="n"/>
      <c r="E48" s="290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1" t="n"/>
      <c r="G48" s="290">
        <f>E48</f>
        <v/>
      </c>
      <c r="H48" s="9" t="n"/>
      <c r="I48" s="105">
        <f>ROUND(IF(OR(D48="",E48="",E48=0),0,IF(H48="",MOD(E48-D48,1)*24,MOD(H48-D48,1)*24)),2)</f>
        <v/>
      </c>
      <c r="J48" s="244" t="n"/>
      <c r="K48" s="240" t="n"/>
      <c r="L48" s="234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2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9">
        <f>MAX(0,40-Y48)</f>
        <v/>
      </c>
      <c r="V48" s="31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17">
        <f>MAX(0,V48-U48)</f>
        <v/>
      </c>
      <c r="X48" s="317">
        <f>IF(C48="","",C48-WEEKDAY(C48,1)+1)</f>
        <v/>
      </c>
      <c r="Y48" s="317">
        <f>SUMPRODUCT(($X$14:$X47=X48)*(($V$14:$V47)+($O$14:$O47)))+IF(X48=X14,$L$11,0)</f>
        <v/>
      </c>
      <c r="Z48" s="317" t="n"/>
      <c r="AA48" s="317" t="n"/>
      <c r="AB48" s="317" t="n"/>
      <c r="AC48" s="317" t="n"/>
      <c r="AD48" s="317" t="n"/>
      <c r="AE48" s="317" t="n"/>
      <c r="AF48" s="317" t="n"/>
    </row>
    <row r="49" ht="24" customHeight="1" thickBot="1">
      <c r="A49" s="293" t="n"/>
      <c r="B49" s="327" t="n"/>
      <c r="C49" s="294" t="n"/>
      <c r="D49" s="295" t="n"/>
      <c r="E49" s="295" t="n"/>
      <c r="F49" s="295" t="n"/>
      <c r="G49" s="295" t="n"/>
      <c r="H49" s="296" t="inlineStr">
        <is>
          <t>Total Hrs:</t>
        </is>
      </c>
      <c r="I49" s="143">
        <f>SUM(I14:I48)</f>
        <v/>
      </c>
      <c r="J49" s="297" t="n"/>
      <c r="K49" s="297" t="n"/>
      <c r="L49" s="298" t="n"/>
      <c r="M49" s="369">
        <f>SUM(M14:M48)</f>
        <v/>
      </c>
      <c r="N49" s="369">
        <f>SUM(N14:N48)</f>
        <v/>
      </c>
      <c r="O49" s="369">
        <f>SUM(O14:O48)</f>
        <v/>
      </c>
      <c r="P49" s="369">
        <f>SUM(P14:P48)</f>
        <v/>
      </c>
      <c r="Q49" s="369">
        <f>IF($O$6&lt;&gt;"Armed",0,LOOKUP($Q$50,{0,1,2,3,4,5,6,7,8,9,10,11,12,13,14},{0,384,769,1153,1153,1538,1923,2307,2692,3076,3461,3846,4239,4615,5000}))</f>
        <v/>
      </c>
      <c r="R49" s="369">
        <f>SUM(R14:R48)</f>
        <v/>
      </c>
      <c r="S49" s="369">
        <f>SUM(S14:S48)</f>
        <v/>
      </c>
      <c r="T49" s="370">
        <f>SUM(T30:T43)</f>
        <v/>
      </c>
      <c r="U49" s="179">
        <f>MIN(U48,0)</f>
        <v/>
      </c>
      <c r="V49" s="317">
        <f>SUM(V14:V48)</f>
        <v/>
      </c>
      <c r="W49" s="317">
        <f>SUM(W14:W48)</f>
        <v/>
      </c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</row>
    <row r="50" ht="24" customHeight="1">
      <c r="A50" s="317" t="n"/>
      <c r="B50" s="317" t="n"/>
      <c r="C50" s="12" t="n"/>
      <c r="D50" s="12" t="n"/>
      <c r="E50" s="12" t="n"/>
      <c r="F50" s="12" t="n"/>
      <c r="G50" s="12" t="n"/>
      <c r="H50" s="328" t="n"/>
      <c r="I50" s="317" t="n"/>
      <c r="J50" s="328" t="n"/>
      <c r="K50" s="328" t="n"/>
      <c r="L50" s="328" t="n"/>
      <c r="M50" s="38" t="n"/>
      <c r="N50" s="38" t="n"/>
      <c r="O50" s="38" t="n"/>
      <c r="P50" s="304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9" t="n"/>
      <c r="V50" s="317" t="n"/>
      <c r="W50" s="317" t="n"/>
      <c r="X50" s="317" t="n"/>
      <c r="Y50" s="317" t="n"/>
      <c r="Z50" s="317" t="n"/>
      <c r="AA50" s="317" t="n"/>
      <c r="AB50" s="317" t="n"/>
      <c r="AC50" s="317" t="n"/>
      <c r="AD50" s="317" t="n"/>
      <c r="AE50" s="317" t="n"/>
      <c r="AF50" s="317" t="n"/>
    </row>
    <row r="51" ht="24" customHeight="1">
      <c r="A51" s="317" t="n"/>
      <c r="B51" s="317" t="n"/>
      <c r="C51" s="329" t="n"/>
      <c r="D51" s="330" t="n"/>
      <c r="E51" s="330" t="n"/>
      <c r="F51" s="336" t="n"/>
      <c r="G51" s="330" t="n"/>
      <c r="H51" s="328" t="n"/>
      <c r="I51" s="317" t="n"/>
      <c r="J51" s="328" t="n"/>
      <c r="K51" s="328" t="n"/>
      <c r="L51" s="328" t="n"/>
      <c r="M51" s="299" t="n"/>
      <c r="N51" s="299" t="n"/>
      <c r="O51" s="299" t="n"/>
      <c r="P51" s="299" t="n"/>
      <c r="Q51" s="299" t="n"/>
      <c r="R51" s="299" t="n"/>
      <c r="S51" s="299" t="n"/>
      <c r="T51" s="299" t="n"/>
      <c r="U51" s="179" t="n"/>
      <c r="V51" s="317" t="n"/>
      <c r="W51" s="317" t="n"/>
      <c r="X51" s="317" t="n"/>
      <c r="Y51" s="317" t="n"/>
      <c r="Z51" s="317" t="n"/>
      <c r="AA51" s="317" t="n"/>
      <c r="AB51" s="317" t="n"/>
      <c r="AC51" s="317" t="n"/>
      <c r="AD51" s="317" t="n"/>
      <c r="AE51" s="317" t="n"/>
      <c r="AF51" s="317" t="n"/>
    </row>
    <row r="52">
      <c r="A52" s="317" t="n"/>
      <c r="B52" s="317" t="n"/>
      <c r="C52" s="318" t="inlineStr">
        <is>
          <t>Supervisor Signature</t>
        </is>
      </c>
      <c r="D52" s="319" t="n"/>
      <c r="E52" s="319" t="n"/>
      <c r="F52" s="318" t="inlineStr">
        <is>
          <t>Date</t>
        </is>
      </c>
      <c r="G52" s="31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17" t="n"/>
      <c r="V52" s="317" t="n"/>
      <c r="W52" s="317" t="n"/>
      <c r="X52" s="317" t="n"/>
      <c r="Y52" s="317" t="n"/>
      <c r="Z52" s="317" t="n"/>
      <c r="AA52" s="317" t="n"/>
      <c r="AB52" s="317" t="n"/>
      <c r="AC52" s="317" t="n"/>
      <c r="AD52" s="317" t="n"/>
      <c r="AE52" s="317" t="n"/>
      <c r="AF52" s="317" t="n"/>
    </row>
    <row r="53" ht="26.25" customHeight="1">
      <c r="A53" s="317" t="n"/>
      <c r="B53" s="317" t="n"/>
      <c r="C53" s="329" t="n"/>
      <c r="D53" s="330" t="n"/>
      <c r="E53" s="330" t="n"/>
      <c r="F53" s="345" t="n"/>
      <c r="G53" s="330" t="n"/>
      <c r="H53" s="12" t="n"/>
      <c r="I53" s="12" t="n"/>
      <c r="J53" s="12" t="n"/>
      <c r="K53" s="12" t="n"/>
      <c r="L53" s="12" t="n"/>
      <c r="M53" s="12" t="n"/>
      <c r="N53" s="300" t="n"/>
      <c r="O53" s="301" t="n"/>
      <c r="P53" s="343" t="n"/>
      <c r="Q53" s="317" t="n"/>
      <c r="R53" s="317" t="n"/>
      <c r="S53" s="317" t="n"/>
      <c r="T53" s="317" t="n"/>
      <c r="U53" s="317" t="n"/>
      <c r="V53" s="317" t="n"/>
      <c r="W53" s="317" t="n"/>
      <c r="X53" s="317" t="n"/>
      <c r="Y53" s="317" t="n"/>
      <c r="Z53" s="317" t="n"/>
      <c r="AA53" s="317" t="n"/>
      <c r="AB53" s="317" t="n"/>
      <c r="AC53" s="317" t="n"/>
      <c r="AD53" s="317" t="n"/>
      <c r="AE53" s="317" t="n"/>
      <c r="AF53" s="317" t="n"/>
    </row>
    <row r="54">
      <c r="A54" s="317" t="n"/>
      <c r="B54" s="317" t="n"/>
      <c r="C54" s="318" t="inlineStr">
        <is>
          <t>Manager Signature</t>
        </is>
      </c>
      <c r="D54" s="319" t="n"/>
      <c r="E54" s="319" t="n"/>
      <c r="F54" s="318" t="inlineStr">
        <is>
          <t>Date</t>
        </is>
      </c>
      <c r="G54" s="319" t="n"/>
      <c r="H54" s="12" t="n"/>
      <c r="I54" s="302" t="inlineStr">
        <is>
          <t>{42}</t>
        </is>
      </c>
      <c r="J54" s="302" t="n"/>
      <c r="K54" s="302" t="n"/>
      <c r="L54" s="30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17" t="n"/>
      <c r="V54" s="317" t="n"/>
      <c r="W54" s="317" t="n"/>
      <c r="X54" s="317" t="n"/>
      <c r="Y54" s="317" t="n"/>
      <c r="Z54" s="317" t="n"/>
      <c r="AA54" s="317" t="n"/>
      <c r="AB54" s="317" t="n"/>
      <c r="AC54" s="317" t="n"/>
      <c r="AD54" s="317" t="n"/>
      <c r="AE54" s="317" t="n"/>
      <c r="AF54" s="317" t="n"/>
    </row>
    <row r="55">
      <c r="A55" s="317" t="n"/>
      <c r="B55" s="317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17" t="n"/>
      <c r="V55" s="317" t="n"/>
      <c r="W55" s="317" t="n"/>
      <c r="X55" s="317" t="n"/>
      <c r="Y55" s="317" t="n"/>
      <c r="Z55" s="317" t="n"/>
      <c r="AA55" s="317" t="n"/>
      <c r="AB55" s="317" t="n"/>
      <c r="AC55" s="317" t="n"/>
      <c r="AD55" s="317" t="n"/>
      <c r="AE55" s="317" t="n"/>
      <c r="AF55" s="317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1"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</t>
        </is>
      </c>
    </row>
    <row r="2">
      <c r="A2" t="inlineStr">
        <is>
          <t>Unico-2</t>
        </is>
      </c>
    </row>
    <row r="3">
      <c r="A3" t="inlineStr">
        <is>
          <t>Unico-42</t>
        </is>
      </c>
    </row>
    <row r="4">
      <c r="A4" t="inlineStr">
        <is>
          <t>Unico-44</t>
        </is>
      </c>
    </row>
    <row r="5">
      <c r="A5" t="inlineStr">
        <is>
          <t>Unico-46</t>
        </is>
      </c>
    </row>
    <row r="6">
      <c r="A6" t="inlineStr">
        <is>
          <t>Unico-47</t>
        </is>
      </c>
    </row>
    <row r="7">
      <c r="A7" t="inlineStr">
        <is>
          <t>Unico-48</t>
        </is>
      </c>
    </row>
    <row r="8">
      <c r="A8" t="inlineStr">
        <is>
          <t>Unico-49</t>
        </is>
      </c>
    </row>
    <row r="9">
      <c r="A9" t="inlineStr">
        <is>
          <t>Globe</t>
        </is>
      </c>
    </row>
    <row r="10">
      <c r="A10" t="inlineStr">
        <is>
          <t>Globe-12</t>
        </is>
      </c>
    </row>
    <row r="11">
      <c r="A11" t="inlineStr">
        <is>
          <t>Hebrews</t>
        </is>
      </c>
    </row>
    <row r="12">
      <c r="A12" t="inlineStr">
        <is>
          <t>Romans-2</t>
        </is>
      </c>
    </row>
    <row r="13">
      <c r="A13" t="inlineStr">
        <is>
          <t>Beacon</t>
        </is>
      </c>
    </row>
    <row r="14">
      <c r="A14" t="inlineStr">
        <is>
          <t>Numbers</t>
        </is>
      </c>
    </row>
    <row r="15">
      <c r="A15" t="inlineStr">
        <is>
          <t>Zebra-24</t>
        </is>
      </c>
    </row>
    <row r="16">
      <c r="A16" t="inlineStr">
        <is>
          <t>Sunrise</t>
        </is>
      </c>
    </row>
    <row r="17">
      <c r="A17" t="inlineStr">
        <is>
          <t>Sunrise-1</t>
        </is>
      </c>
    </row>
    <row r="18">
      <c r="A18" t="inlineStr">
        <is>
          <t>Sunflower 6</t>
        </is>
      </c>
    </row>
    <row r="19">
      <c r="A19" t="inlineStr">
        <is>
          <t>Sunset 12</t>
        </is>
      </c>
    </row>
    <row r="20">
      <c r="A20" t="inlineStr">
        <is>
          <t>Ripple</t>
        </is>
      </c>
    </row>
    <row r="21">
      <c r="A21" t="inlineStr">
        <is>
          <t>Neptune P1</t>
        </is>
      </c>
    </row>
    <row r="22">
      <c r="A22" t="inlineStr">
        <is>
          <t>Neptune P2</t>
        </is>
      </c>
    </row>
    <row r="23">
      <c r="A23" t="inlineStr">
        <is>
          <t>Neptune P3</t>
        </is>
      </c>
    </row>
    <row r="24">
      <c r="A24" t="inlineStr">
        <is>
          <t>Neptune P4</t>
        </is>
      </c>
    </row>
    <row r="25">
      <c r="A25" t="inlineStr">
        <is>
          <t>Neptune P5</t>
        </is>
      </c>
    </row>
    <row r="26">
      <c r="A26" t="inlineStr">
        <is>
          <t>Neptune P6</t>
        </is>
      </c>
    </row>
    <row r="27">
      <c r="A27" t="inlineStr">
        <is>
          <t>Neptune P7</t>
        </is>
      </c>
    </row>
    <row r="28">
      <c r="A28" t="inlineStr">
        <is>
          <t>Rainbow 1</t>
        </is>
      </c>
    </row>
    <row r="29">
      <c r="A29" t="inlineStr">
        <is>
          <t>Rainbow 2</t>
        </is>
      </c>
    </row>
    <row r="30">
      <c r="A30" t="inlineStr">
        <is>
          <t>Citadel</t>
        </is>
      </c>
    </row>
    <row r="31">
      <c r="A31" t="inlineStr">
        <is>
          <t>Sunset 11</t>
        </is>
      </c>
    </row>
    <row r="32">
      <c r="A32" t="inlineStr">
        <is>
          <t>Autumn</t>
        </is>
      </c>
    </row>
    <row r="33">
      <c r="A33" t="inlineStr">
        <is>
          <t>Autumn-2</t>
        </is>
      </c>
    </row>
    <row r="34">
      <c r="A34" t="inlineStr">
        <is>
          <t>Miracle</t>
        </is>
      </c>
    </row>
    <row r="35">
      <c r="A35" t="inlineStr">
        <is>
          <t>Miracle 1</t>
        </is>
      </c>
    </row>
    <row r="36">
      <c r="A36" t="inlineStr">
        <is>
          <t>Canteen</t>
        </is>
      </c>
    </row>
    <row r="37">
      <c r="A37" t="inlineStr">
        <is>
          <t>Guard Hut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Employee Time Sheet with Breaks</dc:title>
  <dc:description xmlns:dc="http://purl.org/dc/elements/1.1/">(c) 2010 Vertex42 LLC. All Rights Reserved.</dc:description>
  <dcterms:created xmlns:dcterms="http://purl.org/dc/terms/" xmlns:xsi="http://www.w3.org/2001/XMLSchema-instance" xsi:type="dcterms:W3CDTF">2003-11-23T07:57:29Z</dcterms:created>
  <dcterms:modified xmlns:dcterms="http://purl.org/dc/terms/" xmlns:xsi="http://www.w3.org/2001/XMLSchema-instance" xsi:type="dcterms:W3CDTF">2026-02-03T15:55:49Z</dcterms:modified>
  <cp:lastModifiedBy>Shemar Spencer</cp:lastModifiedBy>
  <cp:lastPrinted>2017-02-08T23:01:46Z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2010 Vertex42 LLC</vt:lpwstr>
  </property>
  <property name="Version" fmtid="{D5CDD505-2E9C-101B-9397-08002B2CF9AE}" pid="3">
    <vt:lpwstr xmlns:vt="http://schemas.openxmlformats.org/officeDocument/2006/docPropsVTypes">2.4.0</vt:lpwstr>
  </property>
</Properties>
</file>